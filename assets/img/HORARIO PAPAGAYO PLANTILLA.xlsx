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evalos\Desktop\OPERACIONES\"/>
    </mc:Choice>
  </mc:AlternateContent>
  <bookViews>
    <workbookView xWindow="0" yWindow="0" windowWidth="20490" windowHeight="7155"/>
  </bookViews>
  <sheets>
    <sheet name="FERRETERIA" sheetId="2" r:id="rId1"/>
    <sheet name="CAJAS" sheetId="4" r:id="rId2"/>
    <sheet name="PINTURAS" sheetId="3" r:id="rId3"/>
    <sheet name="CHEQUEADORES" sheetId="1" r:id="rId4"/>
    <sheet name="HOGAR" sheetId="6" r:id="rId5"/>
    <sheet name="PATIO" sheetId="7" r:id="rId6"/>
    <sheet name="DETALLES" sheetId="5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9" i="5" l="1"/>
  <c r="H69" i="5"/>
  <c r="G69" i="5"/>
  <c r="F69" i="5"/>
  <c r="E69" i="5"/>
  <c r="D69" i="5"/>
  <c r="C69" i="5"/>
  <c r="I68" i="5"/>
  <c r="H68" i="5"/>
  <c r="G68" i="5"/>
  <c r="F68" i="5"/>
  <c r="E68" i="5"/>
  <c r="D68" i="5"/>
  <c r="C68" i="5"/>
  <c r="I70" i="5"/>
  <c r="H70" i="5"/>
  <c r="G70" i="5"/>
  <c r="F70" i="5"/>
  <c r="E70" i="5"/>
  <c r="D70" i="5"/>
  <c r="C70" i="5"/>
  <c r="D100" i="7"/>
  <c r="E100" i="7"/>
  <c r="F100" i="7"/>
  <c r="G100" i="7"/>
  <c r="H100" i="7"/>
  <c r="I100" i="7"/>
  <c r="C100" i="7"/>
  <c r="C99" i="7"/>
  <c r="C98" i="7"/>
  <c r="I99" i="7"/>
  <c r="H99" i="7"/>
  <c r="G99" i="7"/>
  <c r="F99" i="7"/>
  <c r="E99" i="7"/>
  <c r="D99" i="7"/>
  <c r="I98" i="7"/>
  <c r="H98" i="7"/>
  <c r="G98" i="7"/>
  <c r="F98" i="7"/>
  <c r="E98" i="7"/>
  <c r="D98" i="7"/>
  <c r="H90" i="4"/>
  <c r="D90" i="4"/>
  <c r="E90" i="4"/>
  <c r="F90" i="4"/>
  <c r="G90" i="4"/>
  <c r="D89" i="4"/>
  <c r="E89" i="4"/>
  <c r="F89" i="4"/>
  <c r="G89" i="4"/>
  <c r="H89" i="4"/>
  <c r="I89" i="4"/>
  <c r="I90" i="4"/>
  <c r="D91" i="4"/>
  <c r="E91" i="4"/>
  <c r="F91" i="4"/>
  <c r="G91" i="4"/>
  <c r="H91" i="4"/>
  <c r="I91" i="4"/>
  <c r="C91" i="4"/>
  <c r="C90" i="4"/>
  <c r="C89" i="4"/>
  <c r="L203" i="2" l="1"/>
  <c r="L210" i="2"/>
  <c r="L208" i="2"/>
  <c r="L209" i="2"/>
  <c r="K203" i="2"/>
  <c r="J203" i="2"/>
  <c r="I203" i="2"/>
  <c r="H203" i="2"/>
  <c r="G203" i="2"/>
  <c r="N196" i="2"/>
  <c r="N194" i="2"/>
  <c r="N197" i="2"/>
  <c r="F210" i="2"/>
  <c r="F209" i="2"/>
  <c r="F208" i="2"/>
  <c r="I206" i="2"/>
  <c r="J206" i="2" s="1"/>
  <c r="K206" i="2" s="1"/>
  <c r="F203" i="2"/>
  <c r="L202" i="2"/>
  <c r="K202" i="2"/>
  <c r="J202" i="2"/>
  <c r="I202" i="2"/>
  <c r="H202" i="2"/>
  <c r="G202" i="2"/>
  <c r="F202" i="2"/>
  <c r="L201" i="2"/>
  <c r="K201" i="2"/>
  <c r="J201" i="2"/>
  <c r="I201" i="2"/>
  <c r="H201" i="2"/>
  <c r="G201" i="2"/>
  <c r="F201" i="2"/>
  <c r="E200" i="2" l="1"/>
  <c r="G210" i="2"/>
  <c r="H210" i="2"/>
  <c r="K210" i="2"/>
  <c r="K208" i="2"/>
  <c r="K209" i="2"/>
  <c r="G209" i="2"/>
  <c r="H209" i="2"/>
  <c r="G208" i="2"/>
  <c r="H208" i="2"/>
  <c r="H72" i="7"/>
  <c r="H73" i="7"/>
  <c r="D73" i="7"/>
  <c r="E73" i="7"/>
  <c r="F73" i="7"/>
  <c r="G73" i="7"/>
  <c r="I73" i="7"/>
  <c r="I72" i="7"/>
  <c r="D72" i="7"/>
  <c r="E72" i="7"/>
  <c r="F72" i="7"/>
  <c r="G72" i="7"/>
  <c r="C73" i="7"/>
  <c r="C72" i="7"/>
  <c r="N152" i="2"/>
  <c r="N151" i="2"/>
  <c r="N150" i="2"/>
  <c r="L169" i="2"/>
  <c r="F169" i="2"/>
  <c r="L162" i="2"/>
  <c r="F162" i="2"/>
  <c r="F167" i="2"/>
  <c r="F168" i="2"/>
  <c r="I209" i="2" l="1"/>
  <c r="I210" i="2"/>
  <c r="I208" i="2"/>
  <c r="E159" i="2"/>
  <c r="L160" i="2"/>
  <c r="L161" i="2"/>
  <c r="F161" i="2"/>
  <c r="F160" i="2"/>
  <c r="G165" i="2"/>
  <c r="H165" i="2" s="1"/>
  <c r="I165" i="2" s="1"/>
  <c r="J165" i="2" s="1"/>
  <c r="K165" i="2" s="1"/>
  <c r="G166" i="2"/>
  <c r="H166" i="2" s="1"/>
  <c r="I166" i="2" s="1"/>
  <c r="J166" i="2" s="1"/>
  <c r="G164" i="2"/>
  <c r="K160" i="2"/>
  <c r="J209" i="2" l="1"/>
  <c r="J210" i="2"/>
  <c r="J208" i="2"/>
  <c r="K168" i="2"/>
  <c r="K169" i="2"/>
  <c r="K167" i="2"/>
  <c r="H164" i="2"/>
  <c r="H169" i="2" s="1"/>
  <c r="G169" i="2"/>
  <c r="G162" i="2"/>
  <c r="G167" i="2"/>
  <c r="G168" i="2"/>
  <c r="H160" i="2"/>
  <c r="G161" i="2"/>
  <c r="G160" i="2"/>
  <c r="H161" i="2"/>
  <c r="H168" i="2" l="1"/>
  <c r="I164" i="2"/>
  <c r="I169" i="2" s="1"/>
  <c r="H167" i="2"/>
  <c r="H162" i="2"/>
  <c r="I167" i="2"/>
  <c r="I168" i="2"/>
  <c r="J164" i="2" l="1"/>
  <c r="J169" i="2" s="1"/>
  <c r="I162" i="2"/>
  <c r="I161" i="2"/>
  <c r="I160" i="2"/>
  <c r="J168" i="2"/>
  <c r="J167" i="2"/>
  <c r="J162" i="2" l="1"/>
  <c r="J160" i="2"/>
  <c r="J161" i="2"/>
  <c r="K161" i="2" l="1"/>
  <c r="K162" i="2"/>
</calcChain>
</file>

<file path=xl/comments1.xml><?xml version="1.0" encoding="utf-8"?>
<comments xmlns="http://schemas.openxmlformats.org/spreadsheetml/2006/main">
  <authors>
    <author>Steven Arevalo</author>
  </authors>
  <commentList>
    <comment ref="E15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J15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1Hr de Lactancia</t>
        </r>
      </text>
    </comment>
    <comment ref="I44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J44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I92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J92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J127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  <comment ref="K127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1 Hr De Lactancia
</t>
        </r>
      </text>
    </comment>
  </commentList>
</comments>
</file>

<file path=xl/comments2.xml><?xml version="1.0" encoding="utf-8"?>
<comments xmlns="http://schemas.openxmlformats.org/spreadsheetml/2006/main">
  <authors>
    <author>Steven Arevalo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LANCO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Steven Arevalo:</t>
        </r>
        <r>
          <rPr>
            <sz val="9"/>
            <color indexed="81"/>
            <rFont val="Tahoma"/>
            <family val="2"/>
          </rPr>
          <t xml:space="preserve">
LANCO</t>
        </r>
      </text>
    </comment>
    <comment ref="B40" authorId="0" shapeId="0">
      <text/>
    </comment>
    <comment ref="B55" authorId="0" shapeId="0">
      <text/>
    </comment>
  </commentList>
</comments>
</file>

<file path=xl/sharedStrings.xml><?xml version="1.0" encoding="utf-8"?>
<sst xmlns="http://schemas.openxmlformats.org/spreadsheetml/2006/main" count="2892" uniqueCount="220">
  <si>
    <t>Lunes</t>
  </si>
  <si>
    <t>Martes</t>
  </si>
  <si>
    <t>Miércoles</t>
  </si>
  <si>
    <t>Jueves</t>
  </si>
  <si>
    <t>Viernes</t>
  </si>
  <si>
    <t>Sábado</t>
  </si>
  <si>
    <t>Domingo</t>
  </si>
  <si>
    <t>Lino Cubillo</t>
  </si>
  <si>
    <t>Jose Bonilla</t>
  </si>
  <si>
    <t>Jason Noguera</t>
  </si>
  <si>
    <t>Carlos Luna</t>
  </si>
  <si>
    <t>Alfredo Gomez</t>
  </si>
  <si>
    <t>Colaborador</t>
  </si>
  <si>
    <t>8:00 AM-1:00 PM</t>
  </si>
  <si>
    <t>Libre</t>
  </si>
  <si>
    <t>9:30am - 6:30pm</t>
  </si>
  <si>
    <t>8:30am - 5:30pm</t>
  </si>
  <si>
    <t>7:00am - 4:00pm</t>
  </si>
  <si>
    <r>
      <t xml:space="preserve">Semana del 19 al 25 de Abril CHEQUEADORES </t>
    </r>
    <r>
      <rPr>
        <b/>
        <sz val="18"/>
        <color theme="1"/>
        <rFont val="Calibri"/>
        <family val="2"/>
        <scheme val="minor"/>
      </rPr>
      <t>(2 Puertas)</t>
    </r>
  </si>
  <si>
    <r>
      <t xml:space="preserve">Semana del 19 al 25 de Abril CHEQUEADORES </t>
    </r>
    <r>
      <rPr>
        <b/>
        <sz val="18"/>
        <color theme="1"/>
        <rFont val="Calibri"/>
        <family val="2"/>
        <scheme val="minor"/>
      </rPr>
      <t>(3 Puertas)</t>
    </r>
  </si>
  <si>
    <r>
      <t xml:space="preserve">Semana del 26 de Abril  al 2 de Mayo CHEQUEADORES </t>
    </r>
    <r>
      <rPr>
        <b/>
        <sz val="18"/>
        <color theme="1"/>
        <rFont val="Calibri"/>
        <family val="2"/>
        <scheme val="minor"/>
      </rPr>
      <t>(2 Puertas)</t>
    </r>
  </si>
  <si>
    <r>
      <t xml:space="preserve">Semana del 26 de Abril  al 2 de Mayo CHEQUEADORES </t>
    </r>
    <r>
      <rPr>
        <b/>
        <sz val="18"/>
        <color theme="1"/>
        <rFont val="Calibri"/>
        <family val="2"/>
        <scheme val="minor"/>
      </rPr>
      <t>( 3 Puertas)</t>
    </r>
  </si>
  <si>
    <t xml:space="preserve">LUIS ALFREDO </t>
  </si>
  <si>
    <t>CARLOS RODRIGUEZ</t>
  </si>
  <si>
    <t>JOSUE LEON</t>
  </si>
  <si>
    <t>JOSE CARAVACA</t>
  </si>
  <si>
    <t>JORGE GARCIA</t>
  </si>
  <si>
    <t>IGNACIO RUIZ</t>
  </si>
  <si>
    <t>ERICK SALAS</t>
  </si>
  <si>
    <t>ARGERIE FAJARDO</t>
  </si>
  <si>
    <t>LUIS DIEGO RODRIGUEZ</t>
  </si>
  <si>
    <t>FELIPE SERRANO</t>
  </si>
  <si>
    <t>PRISCILLA GALLARD</t>
  </si>
  <si>
    <t>RONNY ABARCA</t>
  </si>
  <si>
    <t>ROBERTO LARA</t>
  </si>
  <si>
    <t>FERRETERIA DEL 19 AL 25 DE ABRIL 2021</t>
  </si>
  <si>
    <t>LUNES 19</t>
  </si>
  <si>
    <t>MARTES 20</t>
  </si>
  <si>
    <t>Colaborador/Dia</t>
  </si>
  <si>
    <t>MIÉRCOLES 21</t>
  </si>
  <si>
    <t>JUEVES 22</t>
  </si>
  <si>
    <t>VIERNES 23</t>
  </si>
  <si>
    <t>SÁBADO 24</t>
  </si>
  <si>
    <t>DOMINGO 25</t>
  </si>
  <si>
    <t>EDWIN RODRIGUEZ</t>
  </si>
  <si>
    <t>MICHAEL TORRES</t>
  </si>
  <si>
    <t>FREEDY PEREZ</t>
  </si>
  <si>
    <t>Cristina Diaz</t>
  </si>
  <si>
    <t>Escarleth Lara</t>
  </si>
  <si>
    <t>Winny Mendez</t>
  </si>
  <si>
    <t>Niyive Marchena</t>
  </si>
  <si>
    <t>Fabiola Briones</t>
  </si>
  <si>
    <t>Daniela Canales</t>
  </si>
  <si>
    <t>Raquel Cortes</t>
  </si>
  <si>
    <t>Esmirna Rodriguez</t>
  </si>
  <si>
    <t>Johan</t>
  </si>
  <si>
    <t>Francisco acevedo</t>
  </si>
  <si>
    <t>katherine toruño</t>
  </si>
  <si>
    <t>Angie Bustos</t>
  </si>
  <si>
    <t>Daniel Torres</t>
  </si>
  <si>
    <t>Maria Fernanda Garcia</t>
  </si>
  <si>
    <t>Greivin Altamirano</t>
  </si>
  <si>
    <t>Roberto Campos</t>
  </si>
  <si>
    <t>Hugo Garcia</t>
  </si>
  <si>
    <t>Berny Martinez</t>
  </si>
  <si>
    <t>Bryan Lara</t>
  </si>
  <si>
    <t>Rafael Angulo</t>
  </si>
  <si>
    <t>Manrique Venegas</t>
  </si>
  <si>
    <t>COD COLOR</t>
  </si>
  <si>
    <t>LIBRE</t>
  </si>
  <si>
    <t>ABRE</t>
  </si>
  <si>
    <t>CIERRA</t>
  </si>
  <si>
    <t>9:00am - 6:00pm</t>
  </si>
  <si>
    <t>10:00am - 6:00pm</t>
  </si>
  <si>
    <t>8:00am - 5:00pm</t>
  </si>
  <si>
    <t>9:00am - 5:00pm</t>
  </si>
  <si>
    <t>8:00am - 1:00pm</t>
  </si>
  <si>
    <t>EMPAQUE 3</t>
  </si>
  <si>
    <t>8:00am -5:00pm</t>
  </si>
  <si>
    <t>SERGIO HERNANDEZ</t>
  </si>
  <si>
    <t>Abren : 3</t>
  </si>
  <si>
    <t>Cierran: 3</t>
  </si>
  <si>
    <t>Abren : 2</t>
  </si>
  <si>
    <t>FERRETERIA DEL 26 de Abril AL 02 DE MAYO 2021</t>
  </si>
  <si>
    <t>LUNES 26</t>
  </si>
  <si>
    <t>MARTES 27</t>
  </si>
  <si>
    <t>MIÉRCOLES 28</t>
  </si>
  <si>
    <t>JUEVES 29</t>
  </si>
  <si>
    <t>VIERNES 30</t>
  </si>
  <si>
    <t>SÁBADO 01</t>
  </si>
  <si>
    <t>DOMINGO 02</t>
  </si>
  <si>
    <t>Alvaro Marin</t>
  </si>
  <si>
    <t>Alexander Bogarin</t>
  </si>
  <si>
    <t>Abren : 4</t>
  </si>
  <si>
    <t>Cierran: 4</t>
  </si>
  <si>
    <t>JULIO BRENES</t>
  </si>
  <si>
    <t>7:00am - 6:00pm</t>
  </si>
  <si>
    <t>7:00am - 5:00pm</t>
  </si>
  <si>
    <t>JULIO BRENES(LANCO)</t>
  </si>
  <si>
    <t>ABREN</t>
  </si>
  <si>
    <t>CIERRAN</t>
  </si>
  <si>
    <t>PINTURAS</t>
  </si>
  <si>
    <t>PINTURAS  DEL 19 AL 25 DE ABRIL 2021</t>
  </si>
  <si>
    <t>PINTURAS  DEL 26 de Abril AL 02 DE MAYO 2021</t>
  </si>
  <si>
    <t>Abren</t>
  </si>
  <si>
    <t>Cierran</t>
  </si>
  <si>
    <t>Libres</t>
  </si>
  <si>
    <t>PATIO DEL 19 AL 25 DE ABRIL 2021</t>
  </si>
  <si>
    <t>DETALLES  DEL 19 AL 25 DE ABRIL 2021</t>
  </si>
  <si>
    <t>HOGAR DEL 19 AL 25 DE ABRIL 2021</t>
  </si>
  <si>
    <t>Isaac Davila</t>
  </si>
  <si>
    <t>CAJAS  DEL 19 AL 25 DE ABRIL 2021</t>
  </si>
  <si>
    <t>EMPAQUE</t>
  </si>
  <si>
    <t>FABIAN UMAÑA(Corte)</t>
  </si>
  <si>
    <t>ROBERTO LARA(Variable)</t>
  </si>
  <si>
    <t>RONNY ABARCA(Corte)</t>
  </si>
  <si>
    <t>FELIPE SERRANO(herr.)</t>
  </si>
  <si>
    <t>LUIS DIEGO RODRIGUEZ(Herr.)</t>
  </si>
  <si>
    <t>ARGERIE FAJARDO(Vivero/Jardineria)</t>
  </si>
  <si>
    <t>ERICK SALAS(Jardineria/vivero)</t>
  </si>
  <si>
    <t>IGNACIO RUIZ(Electrico)</t>
  </si>
  <si>
    <t>JORGE GARCIA(Adit)</t>
  </si>
  <si>
    <t>JOSE CARAVACA(PVC)</t>
  </si>
  <si>
    <t>CARLOS RODRIGUEZ(Cerraj.)</t>
  </si>
  <si>
    <t>LUIS ALFREDO (Torn.)</t>
  </si>
  <si>
    <t>Heidy Gomez Sanchez</t>
  </si>
  <si>
    <t>BACK UP TESORERIA</t>
  </si>
  <si>
    <t>CAJAS DEL 26 de Abril AL 02 DE MAYO 2021</t>
  </si>
  <si>
    <t>JORDAN LARA (Tornill.)</t>
  </si>
  <si>
    <t>ANDRES GARCIA (PVC)</t>
  </si>
  <si>
    <t>DETALLES DEL 26 de Abril AL 02 DE MAYO 2021</t>
  </si>
  <si>
    <t>HOGAR  DEL 26 de Abril AL 02 DE MAYO 2021</t>
  </si>
  <si>
    <t>Harold</t>
  </si>
  <si>
    <t>KEVIN GUTIERREZ(Electrico)</t>
  </si>
  <si>
    <r>
      <t>LIBRE</t>
    </r>
    <r>
      <rPr>
        <sz val="14"/>
        <color theme="1"/>
        <rFont val="Calibri"/>
        <family val="2"/>
        <scheme val="minor"/>
      </rPr>
      <t>(Cubre Josue Leon de 7-9am)</t>
    </r>
  </si>
  <si>
    <t>COLORES</t>
  </si>
  <si>
    <t>TRABAJA DOMINGO</t>
  </si>
  <si>
    <t>Libre entre semana</t>
  </si>
  <si>
    <t>Apertura de Tienda</t>
  </si>
  <si>
    <t>Cierre de Tienda</t>
  </si>
  <si>
    <t>INDUCCION</t>
  </si>
  <si>
    <t>HERRAMIENTAS</t>
  </si>
  <si>
    <t>Horario Puede Variar****</t>
  </si>
  <si>
    <t>William Garcia(INDUCCION)</t>
  </si>
  <si>
    <t>Marco Perez (INDUCCION)</t>
  </si>
  <si>
    <t>INCAPACIDAD</t>
  </si>
  <si>
    <t>PATIO  DEL 26 de Abril AL 02 DE MAYO 2021</t>
  </si>
  <si>
    <t>7:00am - 4:00pm*****</t>
  </si>
  <si>
    <t>Cajas - Del 03 de Mayo al 09 de Mayo</t>
  </si>
  <si>
    <t>LUNES 03</t>
  </si>
  <si>
    <t>MARTES 04</t>
  </si>
  <si>
    <t>MIÉRCOLES 05</t>
  </si>
  <si>
    <t>JUEVES 06</t>
  </si>
  <si>
    <t>VIERNES 07</t>
  </si>
  <si>
    <t>SÁBADO 08</t>
  </si>
  <si>
    <t>DOMINGO 09</t>
  </si>
  <si>
    <t>Back Up Tesoreria</t>
  </si>
  <si>
    <t>Esteban</t>
  </si>
  <si>
    <t>DOMINGO 10</t>
  </si>
  <si>
    <t>William Garcia</t>
  </si>
  <si>
    <t>7:00am - 4:00pm(7-9 Puerta)</t>
  </si>
  <si>
    <t>VACACIONES</t>
  </si>
  <si>
    <t>HOGAR - Del 03 de Mayo al 09 de Mayo</t>
  </si>
  <si>
    <t>7:00am - 4:00pm(7-8 Puerta)</t>
  </si>
  <si>
    <t>RICARDO VILLAREAL(Adit.)</t>
  </si>
  <si>
    <t>JOSUE LEON(Cerraj.)</t>
  </si>
  <si>
    <t>ANDRES ALVARADO(PVC)</t>
  </si>
  <si>
    <t>DANIELA LOPEZ (Jardineria/vivero)</t>
  </si>
  <si>
    <t>HERRA</t>
  </si>
  <si>
    <t>PASILLO</t>
  </si>
  <si>
    <t>CORTE</t>
  </si>
  <si>
    <t>ESTEBAN FLORES</t>
  </si>
  <si>
    <t xml:space="preserve">7:00am - 4:00pm </t>
  </si>
  <si>
    <t>Almuerzo</t>
  </si>
  <si>
    <t>11:00am</t>
  </si>
  <si>
    <t>1:00pm</t>
  </si>
  <si>
    <t>12:00md</t>
  </si>
  <si>
    <t>12md/1pm (Varia)</t>
  </si>
  <si>
    <t>11=8/12=6/1=4</t>
  </si>
  <si>
    <t>En almuerzo</t>
  </si>
  <si>
    <t>6 - 7 vivero</t>
  </si>
  <si>
    <t xml:space="preserve">FERRETERIA - Del 03 de Mayo al 09 de Mayo </t>
  </si>
  <si>
    <t xml:space="preserve">DETALLES  Del 03 de Mayo al 09 de Mayo </t>
  </si>
  <si>
    <t>Marcos Perez</t>
  </si>
  <si>
    <t xml:space="preserve">PATIO  - Del 03 de Mayo al 09 de Mayo </t>
  </si>
  <si>
    <t>CHEQUEADORES - Del 03 de Mayo al 09 de Mayo</t>
  </si>
  <si>
    <t xml:space="preserve">FERRETERIA - Del 10 de Mayo al 16 de Mayo </t>
  </si>
  <si>
    <t>LUNES 10</t>
  </si>
  <si>
    <t>MARTES 11</t>
  </si>
  <si>
    <t>MIÉRCOLES 12</t>
  </si>
  <si>
    <t>JUEVES 13</t>
  </si>
  <si>
    <t>VIERNES 14</t>
  </si>
  <si>
    <t>SÁBADO 15</t>
  </si>
  <si>
    <t>DOMINGO 16</t>
  </si>
  <si>
    <t>=IF(AND(A1&gt;7,A1&lt;10),"OK","")</t>
  </si>
  <si>
    <t xml:space="preserve">Cajas - Del 10 de Mayo al 16 de Mayo </t>
  </si>
  <si>
    <t>TESORERIA</t>
  </si>
  <si>
    <t>EDGAR</t>
  </si>
  <si>
    <t xml:space="preserve">PINTURAS - Del 10 de Mayo al 16 de Mayo </t>
  </si>
  <si>
    <t xml:space="preserve">CHEQUEADORES  - Del 10 de Mayo al 16 de Mayo </t>
  </si>
  <si>
    <t xml:space="preserve">HOGAR  - Del 10 de Mayo al 16 de Mayo </t>
  </si>
  <si>
    <t>JAIME</t>
  </si>
  <si>
    <t xml:space="preserve">PATIO - Del 10 de Mayo al 16 de Mayo </t>
  </si>
  <si>
    <t xml:space="preserve">DETALLES - Del 10 de Mayo al 16 de Mayo </t>
  </si>
  <si>
    <t xml:space="preserve">FERRETERIA - Del 17 de Mayo al 23 de Mayo </t>
  </si>
  <si>
    <t>LUNES 17</t>
  </si>
  <si>
    <t>MARTES 18</t>
  </si>
  <si>
    <t>MIÉRCOLES 19</t>
  </si>
  <si>
    <t>JUEVES 20</t>
  </si>
  <si>
    <t>VIERNES 21</t>
  </si>
  <si>
    <t>SÁBADO 22</t>
  </si>
  <si>
    <t>DOMINGO 23</t>
  </si>
  <si>
    <t>#</t>
  </si>
  <si>
    <t xml:space="preserve">PINTURAS - Del 17 de Mayo al 23 de Mayo </t>
  </si>
  <si>
    <t xml:space="preserve">Cajas - Del 17 de Mayo al 23 de Mayo </t>
  </si>
  <si>
    <t xml:space="preserve">CHEQUEADORES  - Del 17 de Mayo al 23 de Mayo </t>
  </si>
  <si>
    <t xml:space="preserve">HOGAR  - Del 17 de Mayo al 23 de Mayo </t>
  </si>
  <si>
    <t xml:space="preserve">PATIO  - Del 17 de Mayo al 23 de Mayo </t>
  </si>
  <si>
    <t xml:space="preserve">DETALLES  - Del 17 de Mayo al 23 de Mayo </t>
  </si>
  <si>
    <t>katherine toruño(ILUMINACION)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</si>
</sst>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4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u/>
      <sz val="18"/>
      <color theme="1"/>
      <name val="Bahnschrift SemiBold SemiConden"/>
      <family val="2"/>
    </font>
    <font>
      <b/>
      <i/>
      <u/>
      <sz val="18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color theme="1" tint="4.9989318521683403E-2"/>
      <name val="Calibri"/>
      <family val="2"/>
      <scheme val="minor"/>
    </font>
    <font>
      <sz val="16"/>
      <color theme="1"/>
      <name val="Calibri"/>
      <scheme val="minor"/>
    </font>
    <font>
      <sz val="10"/>
      <color theme="1"/>
      <name val="Arial Unicode MS"/>
      <family val="2"/>
    </font>
    <font>
      <sz val="28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20" fontId="3" fillId="3" borderId="1" xfId="0" applyNumberFormat="1" applyFont="1" applyFill="1" applyBorder="1"/>
    <xf numFmtId="0" fontId="3" fillId="3" borderId="1" xfId="0" applyFont="1" applyFill="1" applyBorder="1"/>
    <xf numFmtId="20" fontId="3" fillId="0" borderId="1" xfId="0" applyNumberFormat="1" applyFont="1" applyBorder="1"/>
    <xf numFmtId="0" fontId="3" fillId="0" borderId="0" xfId="0" applyFont="1" applyFill="1" applyBorder="1"/>
    <xf numFmtId="20" fontId="3" fillId="0" borderId="0" xfId="0" applyNumberFormat="1" applyFont="1" applyFill="1" applyBorder="1"/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textRotation="45" wrapText="1"/>
    </xf>
    <xf numFmtId="0" fontId="1" fillId="0" borderId="5" xfId="0" applyFont="1" applyBorder="1" applyAlignment="1">
      <alignment textRotation="45" wrapText="1"/>
    </xf>
    <xf numFmtId="0" fontId="3" fillId="4" borderId="1" xfId="0" applyFont="1" applyFill="1" applyBorder="1"/>
    <xf numFmtId="0" fontId="3" fillId="5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6" fillId="6" borderId="1" xfId="0" applyFont="1" applyFill="1" applyBorder="1" applyAlignment="1">
      <alignment textRotation="45" wrapText="1"/>
    </xf>
    <xf numFmtId="0" fontId="0" fillId="0" borderId="5" xfId="0" applyBorder="1"/>
    <xf numFmtId="0" fontId="0" fillId="7" borderId="1" xfId="0" applyFill="1" applyBorder="1"/>
    <xf numFmtId="0" fontId="0" fillId="7" borderId="1" xfId="0" applyFont="1" applyFill="1" applyBorder="1"/>
    <xf numFmtId="0" fontId="0" fillId="8" borderId="1" xfId="0" applyFill="1" applyBorder="1"/>
    <xf numFmtId="0" fontId="0" fillId="8" borderId="1" xfId="0" applyFont="1" applyFill="1" applyBorder="1"/>
    <xf numFmtId="0" fontId="0" fillId="9" borderId="1" xfId="0" applyFill="1" applyBorder="1"/>
    <xf numFmtId="0" fontId="0" fillId="9" borderId="1" xfId="0" applyFont="1" applyFill="1" applyBorder="1"/>
    <xf numFmtId="0" fontId="0" fillId="8" borderId="4" xfId="0" applyFill="1" applyBorder="1"/>
    <xf numFmtId="0" fontId="0" fillId="12" borderId="4" xfId="0" applyFill="1" applyBorder="1"/>
    <xf numFmtId="0" fontId="0" fillId="12" borderId="1" xfId="0" applyFont="1" applyFill="1" applyBorder="1"/>
    <xf numFmtId="0" fontId="7" fillId="3" borderId="3" xfId="0" applyFont="1" applyFill="1" applyBorder="1"/>
    <xf numFmtId="0" fontId="7" fillId="3" borderId="1" xfId="0" applyFont="1" applyFill="1" applyBorder="1"/>
    <xf numFmtId="0" fontId="0" fillId="3" borderId="3" xfId="0" applyFill="1" applyBorder="1"/>
    <xf numFmtId="0" fontId="0" fillId="3" borderId="1" xfId="0" applyFont="1" applyFill="1" applyBorder="1"/>
    <xf numFmtId="0" fontId="0" fillId="9" borderId="3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4" xfId="0" applyFill="1" applyBorder="1"/>
    <xf numFmtId="0" fontId="0" fillId="9" borderId="8" xfId="0" applyFill="1" applyBorder="1"/>
    <xf numFmtId="0" fontId="0" fillId="7" borderId="10" xfId="0" applyFill="1" applyBorder="1"/>
    <xf numFmtId="0" fontId="0" fillId="8" borderId="9" xfId="0" applyFill="1" applyBorder="1"/>
    <xf numFmtId="0" fontId="0" fillId="0" borderId="14" xfId="0" applyBorder="1"/>
    <xf numFmtId="0" fontId="0" fillId="8" borderId="15" xfId="0" applyFill="1" applyBorder="1"/>
    <xf numFmtId="0" fontId="0" fillId="8" borderId="16" xfId="0" applyFill="1" applyBorder="1"/>
    <xf numFmtId="0" fontId="12" fillId="0" borderId="3" xfId="0" applyFont="1" applyBorder="1"/>
    <xf numFmtId="0" fontId="12" fillId="8" borderId="1" xfId="0" applyFont="1" applyFill="1" applyBorder="1"/>
    <xf numFmtId="0" fontId="12" fillId="12" borderId="4" xfId="0" applyFont="1" applyFill="1" applyBorder="1"/>
    <xf numFmtId="0" fontId="12" fillId="7" borderId="1" xfId="0" applyFont="1" applyFill="1" applyBorder="1"/>
    <xf numFmtId="0" fontId="12" fillId="8" borderId="9" xfId="0" applyFont="1" applyFill="1" applyBorder="1"/>
    <xf numFmtId="0" fontId="8" fillId="11" borderId="6" xfId="0" applyFont="1" applyFill="1" applyBorder="1"/>
    <xf numFmtId="0" fontId="8" fillId="11" borderId="7" xfId="0" applyFont="1" applyFill="1" applyBorder="1"/>
    <xf numFmtId="0" fontId="8" fillId="11" borderId="8" xfId="0" applyFont="1" applyFill="1" applyBorder="1"/>
    <xf numFmtId="0" fontId="8" fillId="11" borderId="0" xfId="0" applyFont="1" applyFill="1" applyBorder="1"/>
    <xf numFmtId="0" fontId="0" fillId="12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textRotation="45" wrapText="1"/>
    </xf>
    <xf numFmtId="0" fontId="0" fillId="0" borderId="5" xfId="0" applyBorder="1" applyAlignment="1">
      <alignment horizontal="center" vertical="center" textRotation="45" wrapText="1"/>
    </xf>
    <xf numFmtId="0" fontId="0" fillId="0" borderId="0" xfId="0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" xfId="0" applyFont="1" applyFill="1" applyBorder="1"/>
    <xf numFmtId="0" fontId="8" fillId="11" borderId="3" xfId="0" applyFont="1" applyFill="1" applyBorder="1" applyAlignment="1">
      <alignment horizontal="center" vertical="center"/>
    </xf>
    <xf numFmtId="0" fontId="0" fillId="3" borderId="6" xfId="0" applyFill="1" applyBorder="1"/>
    <xf numFmtId="0" fontId="16" fillId="0" borderId="3" xfId="0" applyFont="1" applyBorder="1" applyAlignment="1">
      <alignment horizontal="left" vertical="top"/>
    </xf>
    <xf numFmtId="0" fontId="16" fillId="7" borderId="1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top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11" borderId="6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6" fillId="12" borderId="13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0" fontId="20" fillId="11" borderId="19" xfId="0" applyFont="1" applyFill="1" applyBorder="1" applyAlignment="1">
      <alignment horizontal="center" vertical="center"/>
    </xf>
    <xf numFmtId="0" fontId="20" fillId="11" borderId="17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22" fillId="0" borderId="3" xfId="0" applyFont="1" applyBorder="1"/>
    <xf numFmtId="0" fontId="22" fillId="0" borderId="3" xfId="0" applyFont="1" applyBorder="1" applyAlignment="1">
      <alignment wrapText="1"/>
    </xf>
    <xf numFmtId="0" fontId="23" fillId="13" borderId="0" xfId="0" applyFont="1" applyFill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 applyAlignment="1">
      <alignment wrapText="1"/>
    </xf>
    <xf numFmtId="0" fontId="4" fillId="15" borderId="1" xfId="0" applyFont="1" applyFill="1" applyBorder="1"/>
    <xf numFmtId="0" fontId="4" fillId="3" borderId="1" xfId="0" applyFont="1" applyFill="1" applyBorder="1"/>
    <xf numFmtId="0" fontId="20" fillId="14" borderId="0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0" fillId="0" borderId="3" xfId="0" applyFill="1" applyBorder="1"/>
    <xf numFmtId="0" fontId="0" fillId="10" borderId="1" xfId="0" applyFont="1" applyFill="1" applyBorder="1" applyAlignment="1">
      <alignment horizontal="center" vertical="center"/>
    </xf>
    <xf numFmtId="0" fontId="22" fillId="3" borderId="3" xfId="0" applyFont="1" applyFill="1" applyBorder="1"/>
    <xf numFmtId="0" fontId="1" fillId="0" borderId="1" xfId="0" applyFont="1" applyBorder="1" applyAlignment="1">
      <alignment horizontal="center" vertical="center" textRotation="45" wrapText="1"/>
    </xf>
    <xf numFmtId="0" fontId="0" fillId="0" borderId="1" xfId="0" applyBorder="1" applyAlignment="1">
      <alignment horizontal="center" vertical="center" textRotation="45" wrapText="1"/>
    </xf>
    <xf numFmtId="0" fontId="0" fillId="16" borderId="1" xfId="0" applyFont="1" applyFill="1" applyBorder="1"/>
    <xf numFmtId="0" fontId="0" fillId="0" borderId="1" xfId="0" applyFont="1" applyBorder="1"/>
    <xf numFmtId="0" fontId="0" fillId="15" borderId="1" xfId="0" applyFont="1" applyFill="1" applyBorder="1"/>
    <xf numFmtId="0" fontId="0" fillId="0" borderId="2" xfId="0" applyBorder="1"/>
    <xf numFmtId="0" fontId="0" fillId="3" borderId="24" xfId="0" applyFill="1" applyBorder="1"/>
    <xf numFmtId="0" fontId="0" fillId="8" borderId="3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8" borderId="25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left" vertical="top"/>
    </xf>
    <xf numFmtId="0" fontId="0" fillId="13" borderId="3" xfId="0" applyFill="1" applyBorder="1"/>
    <xf numFmtId="0" fontId="0" fillId="14" borderId="5" xfId="0" applyFill="1" applyBorder="1" applyAlignment="1">
      <alignment wrapText="1"/>
    </xf>
    <xf numFmtId="0" fontId="0" fillId="0" borderId="0" xfId="0" applyBorder="1"/>
    <xf numFmtId="0" fontId="8" fillId="13" borderId="0" xfId="0" applyFont="1" applyFill="1" applyBorder="1" applyAlignment="1">
      <alignment horizontal="center" vertical="center" textRotation="90"/>
    </xf>
    <xf numFmtId="0" fontId="21" fillId="0" borderId="0" xfId="0" applyFont="1" applyBorder="1" applyAlignment="1">
      <alignment horizontal="center" vertical="center" textRotation="90"/>
    </xf>
    <xf numFmtId="0" fontId="0" fillId="14" borderId="1" xfId="0" applyFill="1" applyBorder="1" applyAlignment="1">
      <alignment wrapText="1"/>
    </xf>
    <xf numFmtId="0" fontId="16" fillId="12" borderId="10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left" vertical="top"/>
    </xf>
    <xf numFmtId="0" fontId="16" fillId="8" borderId="29" xfId="0" applyFont="1" applyFill="1" applyBorder="1" applyAlignment="1">
      <alignment horizontal="center" vertical="center"/>
    </xf>
    <xf numFmtId="0" fontId="16" fillId="12" borderId="3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top"/>
    </xf>
    <xf numFmtId="0" fontId="16" fillId="12" borderId="32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left" vertical="top"/>
    </xf>
    <xf numFmtId="0" fontId="16" fillId="8" borderId="12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left" vertical="top"/>
    </xf>
    <xf numFmtId="0" fontId="16" fillId="12" borderId="34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left" vertical="top"/>
    </xf>
    <xf numFmtId="0" fontId="0" fillId="0" borderId="10" xfId="0" applyBorder="1"/>
    <xf numFmtId="0" fontId="3" fillId="0" borderId="1" xfId="0" applyFont="1" applyBorder="1" applyAlignment="1">
      <alignment horizontal="center" vertical="center" textRotation="45" wrapText="1"/>
    </xf>
    <xf numFmtId="0" fontId="16" fillId="0" borderId="1" xfId="0" applyFont="1" applyBorder="1" applyAlignment="1">
      <alignment horizontal="center" vertical="center" textRotation="45" wrapText="1"/>
    </xf>
    <xf numFmtId="0" fontId="16" fillId="8" borderId="28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28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45" wrapText="1"/>
    </xf>
    <xf numFmtId="0" fontId="24" fillId="0" borderId="1" xfId="0" applyFont="1" applyBorder="1" applyAlignment="1">
      <alignment horizontal="left" vertical="top"/>
    </xf>
    <xf numFmtId="0" fontId="16" fillId="8" borderId="3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left" vertical="top"/>
    </xf>
    <xf numFmtId="0" fontId="16" fillId="0" borderId="12" xfId="0" applyFont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left" vertical="top"/>
    </xf>
    <xf numFmtId="0" fontId="16" fillId="3" borderId="29" xfId="0" applyFont="1" applyFill="1" applyBorder="1" applyAlignment="1">
      <alignment horizontal="left" vertical="top"/>
    </xf>
    <xf numFmtId="0" fontId="16" fillId="12" borderId="29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left" vertical="top"/>
    </xf>
    <xf numFmtId="0" fontId="24" fillId="0" borderId="12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6" fillId="8" borderId="43" xfId="0" applyFont="1" applyFill="1" applyBorder="1" applyAlignment="1">
      <alignment horizontal="center" vertical="center"/>
    </xf>
    <xf numFmtId="0" fontId="16" fillId="18" borderId="29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left" vertical="top"/>
    </xf>
    <xf numFmtId="0" fontId="16" fillId="8" borderId="37" xfId="0" applyFont="1" applyFill="1" applyBorder="1" applyAlignment="1">
      <alignment horizontal="center" vertical="center"/>
    </xf>
    <xf numFmtId="0" fontId="24" fillId="0" borderId="29" xfId="0" applyFont="1" applyBorder="1" applyAlignment="1">
      <alignment horizontal="left" vertical="top"/>
    </xf>
    <xf numFmtId="0" fontId="3" fillId="0" borderId="10" xfId="0" applyFont="1" applyBorder="1" applyAlignment="1">
      <alignment horizontal="center" vertical="center" textRotation="45" wrapText="1"/>
    </xf>
    <xf numFmtId="0" fontId="4" fillId="3" borderId="3" xfId="0" applyFont="1" applyFill="1" applyBorder="1"/>
    <xf numFmtId="0" fontId="4" fillId="3" borderId="6" xfId="0" applyFont="1" applyFill="1" applyBorder="1" applyAlignment="1">
      <alignment wrapText="1"/>
    </xf>
    <xf numFmtId="0" fontId="27" fillId="0" borderId="10" xfId="0" applyFont="1" applyBorder="1" applyAlignment="1">
      <alignment horizontal="center" vertical="center" textRotation="45" wrapText="1"/>
    </xf>
    <xf numFmtId="0" fontId="0" fillId="0" borderId="6" xfId="0" applyFill="1" applyBorder="1"/>
    <xf numFmtId="0" fontId="0" fillId="0" borderId="19" xfId="0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11" borderId="6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0" fontId="20" fillId="11" borderId="19" xfId="0" applyFont="1" applyFill="1" applyBorder="1" applyAlignment="1">
      <alignment horizontal="center" vertical="center"/>
    </xf>
    <xf numFmtId="0" fontId="20" fillId="11" borderId="17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0" fontId="0" fillId="13" borderId="1" xfId="0" applyFill="1" applyBorder="1"/>
    <xf numFmtId="0" fontId="20" fillId="14" borderId="0" xfId="0" applyFont="1" applyFill="1" applyBorder="1" applyAlignment="1">
      <alignment horizontal="center" vertical="center" wrapText="1"/>
    </xf>
    <xf numFmtId="0" fontId="0" fillId="0" borderId="2" xfId="0" applyBorder="1"/>
    <xf numFmtId="0" fontId="0" fillId="14" borderId="1" xfId="0" applyFill="1" applyBorder="1" applyAlignment="1">
      <alignment wrapText="1"/>
    </xf>
    <xf numFmtId="0" fontId="3" fillId="0" borderId="1" xfId="0" applyFont="1" applyBorder="1" applyAlignment="1">
      <alignment horizontal="center" vertical="center" textRotation="45" wrapText="1"/>
    </xf>
    <xf numFmtId="0" fontId="24" fillId="0" borderId="5" xfId="0" applyFont="1" applyBorder="1" applyAlignment="1">
      <alignment horizontal="center" vertical="center"/>
    </xf>
    <xf numFmtId="20" fontId="16" fillId="0" borderId="5" xfId="0" applyNumberFormat="1" applyFont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45" wrapText="1"/>
    </xf>
    <xf numFmtId="0" fontId="26" fillId="19" borderId="1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6" fillId="12" borderId="38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left" vertical="top"/>
    </xf>
    <xf numFmtId="0" fontId="16" fillId="3" borderId="24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20" borderId="12" xfId="0" applyFont="1" applyFill="1" applyBorder="1" applyAlignment="1">
      <alignment horizontal="left" vertical="top"/>
    </xf>
    <xf numFmtId="0" fontId="16" fillId="12" borderId="5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16" fillId="8" borderId="29" xfId="0" applyFont="1" applyFill="1" applyBorder="1" applyAlignment="1">
      <alignment horizontal="center" vertical="center"/>
    </xf>
    <xf numFmtId="0" fontId="16" fillId="16" borderId="29" xfId="0" applyFont="1" applyFill="1" applyBorder="1" applyAlignment="1">
      <alignment horizontal="left" vertical="top"/>
    </xf>
    <xf numFmtId="0" fontId="16" fillId="20" borderId="12" xfId="0" applyFont="1" applyFill="1" applyBorder="1" applyAlignment="1">
      <alignment horizontal="center" vertical="center"/>
    </xf>
    <xf numFmtId="0" fontId="16" fillId="20" borderId="22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20" borderId="7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/>
    </xf>
    <xf numFmtId="0" fontId="16" fillId="20" borderId="29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0" fontId="16" fillId="0" borderId="29" xfId="0" applyFont="1" applyFill="1" applyBorder="1" applyAlignment="1">
      <alignment horizontal="left" vertical="top"/>
    </xf>
    <xf numFmtId="0" fontId="16" fillId="0" borderId="12" xfId="0" applyFont="1" applyFill="1" applyBorder="1" applyAlignment="1">
      <alignment horizontal="left" vertical="top"/>
    </xf>
    <xf numFmtId="0" fontId="2" fillId="0" borderId="29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 textRotation="45" wrapText="1"/>
    </xf>
    <xf numFmtId="0" fontId="6" fillId="0" borderId="48" xfId="0" applyFont="1" applyBorder="1" applyAlignment="1">
      <alignment horizontal="center" vertical="center" textRotation="45" wrapText="1"/>
    </xf>
    <xf numFmtId="0" fontId="6" fillId="0" borderId="1" xfId="0" applyFont="1" applyBorder="1" applyAlignment="1">
      <alignment horizontal="center" vertical="center" textRotation="45" wrapText="1"/>
    </xf>
    <xf numFmtId="0" fontId="0" fillId="21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22" fillId="3" borderId="1" xfId="0" applyFont="1" applyFill="1" applyBorder="1"/>
    <xf numFmtId="0" fontId="0" fillId="23" borderId="1" xfId="0" applyFont="1" applyFill="1" applyBorder="1" applyAlignment="1">
      <alignment horizontal="center" vertical="center"/>
    </xf>
    <xf numFmtId="0" fontId="13" fillId="18" borderId="1" xfId="0" applyFont="1" applyFill="1" applyBorder="1"/>
    <xf numFmtId="0" fontId="0" fillId="21" borderId="6" xfId="0" applyFill="1" applyBorder="1"/>
    <xf numFmtId="0" fontId="0" fillId="21" borderId="3" xfId="0" applyFill="1" applyBorder="1"/>
    <xf numFmtId="0" fontId="0" fillId="0" borderId="9" xfId="0" applyBorder="1"/>
    <xf numFmtId="0" fontId="5" fillId="21" borderId="1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0" fontId="16" fillId="20" borderId="1" xfId="0" applyFont="1" applyFill="1" applyBorder="1" applyAlignment="1">
      <alignment horizontal="left" vertical="top"/>
    </xf>
    <xf numFmtId="0" fontId="16" fillId="3" borderId="10" xfId="0" applyFont="1" applyFill="1" applyBorder="1" applyAlignment="1">
      <alignment horizontal="left" vertical="top"/>
    </xf>
    <xf numFmtId="0" fontId="16" fillId="8" borderId="32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top"/>
    </xf>
    <xf numFmtId="0" fontId="16" fillId="20" borderId="10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left" vertical="top"/>
    </xf>
    <xf numFmtId="0" fontId="16" fillId="20" borderId="29" xfId="0" applyFont="1" applyFill="1" applyBorder="1" applyAlignment="1">
      <alignment horizontal="left" vertical="top"/>
    </xf>
    <xf numFmtId="0" fontId="0" fillId="0" borderId="52" xfId="0" applyBorder="1"/>
    <xf numFmtId="0" fontId="20" fillId="11" borderId="7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20" fillId="11" borderId="7" xfId="0" applyFont="1" applyFill="1" applyBorder="1" applyAlignment="1">
      <alignment horizontal="center" vertical="center"/>
    </xf>
    <xf numFmtId="0" fontId="20" fillId="11" borderId="19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0" fontId="26" fillId="19" borderId="9" xfId="0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6" fillId="19" borderId="5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0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 textRotation="90"/>
    </xf>
    <xf numFmtId="0" fontId="0" fillId="0" borderId="44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0" fillId="0" borderId="45" xfId="0" applyBorder="1" applyAlignment="1">
      <alignment horizontal="center" textRotation="90" wrapText="1"/>
    </xf>
    <xf numFmtId="0" fontId="0" fillId="0" borderId="46" xfId="0" applyBorder="1" applyAlignment="1">
      <alignment horizontal="center" textRotation="90" wrapText="1"/>
    </xf>
    <xf numFmtId="0" fontId="0" fillId="0" borderId="45" xfId="0" applyBorder="1" applyAlignment="1">
      <alignment horizontal="center" textRotation="90"/>
    </xf>
    <xf numFmtId="0" fontId="0" fillId="0" borderId="46" xfId="0" applyBorder="1" applyAlignment="1">
      <alignment horizontal="center" textRotation="90"/>
    </xf>
    <xf numFmtId="0" fontId="25" fillId="0" borderId="0" xfId="0" applyFont="1" applyAlignment="1">
      <alignment horizontal="center"/>
    </xf>
    <xf numFmtId="0" fontId="0" fillId="0" borderId="53" xfId="0" applyBorder="1" applyAlignment="1">
      <alignment horizontal="center" vertical="center"/>
    </xf>
    <xf numFmtId="0" fontId="8" fillId="13" borderId="0" xfId="0" applyFont="1" applyFill="1" applyBorder="1" applyAlignment="1">
      <alignment horizontal="center" vertical="center" textRotation="90"/>
    </xf>
    <xf numFmtId="0" fontId="21" fillId="0" borderId="0" xfId="0" applyFont="1" applyBorder="1" applyAlignment="1">
      <alignment horizontal="center" vertical="center" textRotation="90"/>
    </xf>
    <xf numFmtId="0" fontId="0" fillId="0" borderId="35" xfId="0" applyBorder="1" applyAlignment="1">
      <alignment horizontal="center" textRotation="90" wrapText="1"/>
    </xf>
    <xf numFmtId="0" fontId="0" fillId="0" borderId="36" xfId="0" applyBorder="1" applyAlignment="1">
      <alignment horizontal="center" textRotation="90" wrapText="1"/>
    </xf>
    <xf numFmtId="0" fontId="0" fillId="0" borderId="35" xfId="0" applyBorder="1" applyAlignment="1">
      <alignment horizontal="center" textRotation="90"/>
    </xf>
    <xf numFmtId="0" fontId="0" fillId="0" borderId="36" xfId="0" applyBorder="1" applyAlignment="1">
      <alignment horizontal="center" textRotation="90"/>
    </xf>
    <xf numFmtId="0" fontId="4" fillId="0" borderId="0" xfId="0" applyFont="1" applyAlignment="1">
      <alignment horizontal="center"/>
    </xf>
    <xf numFmtId="0" fontId="13" fillId="11" borderId="23" xfId="0" applyFont="1" applyFill="1" applyBorder="1" applyAlignment="1">
      <alignment horizontal="center" vertical="center" textRotation="90"/>
    </xf>
    <xf numFmtId="0" fontId="13" fillId="11" borderId="0" xfId="0" applyFont="1" applyFill="1" applyBorder="1" applyAlignment="1">
      <alignment horizontal="center" vertical="center" textRotation="90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 textRotation="90"/>
    </xf>
    <xf numFmtId="0" fontId="0" fillId="0" borderId="33" xfId="0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16" fillId="21" borderId="13" xfId="0" applyFont="1" applyFill="1" applyBorder="1" applyAlignment="1">
      <alignment horizontal="center" vertical="center"/>
    </xf>
    <xf numFmtId="0" fontId="16" fillId="21" borderId="51" xfId="0" applyFont="1" applyFill="1" applyBorder="1" applyAlignment="1">
      <alignment horizontal="center" vertical="center"/>
    </xf>
    <xf numFmtId="0" fontId="16" fillId="21" borderId="11" xfId="0" applyFont="1" applyFill="1" applyBorder="1" applyAlignment="1">
      <alignment horizontal="center" vertical="center"/>
    </xf>
    <xf numFmtId="0" fontId="16" fillId="21" borderId="49" xfId="0" applyFont="1" applyFill="1" applyBorder="1" applyAlignment="1">
      <alignment horizontal="center" vertical="center"/>
    </xf>
    <xf numFmtId="0" fontId="16" fillId="21" borderId="50" xfId="0" applyFont="1" applyFill="1" applyBorder="1" applyAlignment="1">
      <alignment horizontal="center" vertical="center"/>
    </xf>
    <xf numFmtId="0" fontId="16" fillId="21" borderId="43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48" xfId="0" applyFont="1" applyBorder="1" applyAlignment="1">
      <alignment horizontal="center" vertical="center" textRotation="45" wrapText="1"/>
    </xf>
    <xf numFmtId="0" fontId="4" fillId="0" borderId="1" xfId="0" applyFont="1" applyBorder="1" applyAlignment="1">
      <alignment horizontal="center" vertical="center" textRotation="45" wrapText="1"/>
    </xf>
    <xf numFmtId="0" fontId="0" fillId="24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0" fillId="0" borderId="54" xfId="0" applyBorder="1" applyAlignment="1">
      <alignment horizontal="center" textRotation="90" wrapText="1"/>
    </xf>
    <xf numFmtId="0" fontId="0" fillId="0" borderId="24" xfId="0" applyFill="1" applyBorder="1"/>
    <xf numFmtId="0" fontId="0" fillId="10" borderId="1" xfId="0" applyFill="1" applyBorder="1" applyAlignment="1">
      <alignment horizontal="center" vertical="center"/>
    </xf>
    <xf numFmtId="0" fontId="16" fillId="20" borderId="4" xfId="0" applyFont="1" applyFill="1" applyBorder="1" applyAlignment="1">
      <alignment horizontal="center" vertical="center"/>
    </xf>
    <xf numFmtId="0" fontId="16" fillId="20" borderId="13" xfId="0" applyFont="1" applyFill="1" applyBorder="1" applyAlignment="1">
      <alignment horizontal="center" vertical="center"/>
    </xf>
    <xf numFmtId="0" fontId="16" fillId="7" borderId="55" xfId="0" applyFont="1" applyFill="1" applyBorder="1" applyAlignment="1">
      <alignment horizontal="center" vertical="center"/>
    </xf>
    <xf numFmtId="0" fontId="16" fillId="8" borderId="56" xfId="0" applyFont="1" applyFill="1" applyBorder="1" applyAlignment="1">
      <alignment horizontal="center" vertical="center"/>
    </xf>
    <xf numFmtId="0" fontId="16" fillId="12" borderId="57" xfId="0" applyFont="1" applyFill="1" applyBorder="1" applyAlignment="1">
      <alignment horizontal="center" vertical="center"/>
    </xf>
    <xf numFmtId="0" fontId="16" fillId="20" borderId="10" xfId="0" applyFont="1" applyFill="1" applyBorder="1" applyAlignment="1">
      <alignment horizontal="left" vertical="top"/>
    </xf>
    <xf numFmtId="0" fontId="16" fillId="8" borderId="21" xfId="0" applyFont="1" applyFill="1" applyBorder="1" applyAlignment="1">
      <alignment horizontal="center" vertical="center"/>
    </xf>
    <xf numFmtId="0" fontId="16" fillId="12" borderId="58" xfId="0" applyFont="1" applyFill="1" applyBorder="1" applyAlignment="1">
      <alignment horizontal="center" vertical="center"/>
    </xf>
    <xf numFmtId="0" fontId="16" fillId="7" borderId="59" xfId="0" applyFont="1" applyFill="1" applyBorder="1" applyAlignment="1">
      <alignment horizontal="center" vertical="center"/>
    </xf>
    <xf numFmtId="0" fontId="16" fillId="12" borderId="59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textRotation="90"/>
    </xf>
  </cellXfs>
  <cellStyles count="1">
    <cellStyle name="Normal" xfId="0" builtinId="0"/>
  </cellStyles>
  <dxfs count="335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CC33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45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CC33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45" wrapText="1" indent="0" justifyLastLine="0" shrinkToFit="0" readingOrder="0"/>
    </dxf>
    <dxf>
      <fill>
        <patternFill patternType="solid">
          <fgColor indexed="64"/>
          <bgColor rgb="FFCC33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CC33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indent="0" justifyLastLine="0" shrinkToFit="0" readingOrder="0"/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8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D2:K20" totalsRowShown="0" headerRowDxfId="334" headerRowBorderDxfId="333" tableBorderDxfId="332" totalsRowBorderDxfId="331">
  <autoFilter ref="D2:K20"/>
  <tableColumns count="8">
    <tableColumn id="1" name="Colaborador/Dia" dataDxfId="330"/>
    <tableColumn id="2" name="LUNES 19" dataDxfId="329"/>
    <tableColumn id="3" name="MARTES 20" dataDxfId="328"/>
    <tableColumn id="4" name="MIÉRCOLES 21" dataDxfId="327"/>
    <tableColumn id="5" name="JUEVES 22" dataDxfId="326"/>
    <tableColumn id="6" name="VIERNES 23" dataDxfId="325"/>
    <tableColumn id="7" name="SÁBADO 24" dataDxfId="324"/>
    <tableColumn id="8" name="DOMINGO 25" dataDxfId="32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13" name="Tabla214" displayName="Tabla214" ref="D24:K49" totalsRowShown="0" headerRowDxfId="322" dataDxfId="320" headerRowBorderDxfId="321" tableBorderDxfId="319" totalsRowBorderDxfId="318">
  <autoFilter ref="D24:K49"/>
  <tableColumns count="8">
    <tableColumn id="1" name="Colaborador/Dia" dataDxfId="317"/>
    <tableColumn id="2" name="LUNES 03" dataDxfId="316"/>
    <tableColumn id="3" name="MARTES 04" dataDxfId="315"/>
    <tableColumn id="4" name="MIÉRCOLES 05" dataDxfId="314"/>
    <tableColumn id="5" name="JUEVES 06" dataDxfId="313"/>
    <tableColumn id="6" name="VIERNES 07" dataDxfId="312"/>
    <tableColumn id="7" name="SÁBADO 08" dataDxfId="311"/>
    <tableColumn id="8" name="DOMINGO 09" dataDxfId="3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8" name="Tabla21418" displayName="Tabla21418" ref="D101:L130" totalsRowShown="0" headerRowDxfId="309" dataDxfId="307" headerRowBorderDxfId="308" tableBorderDxfId="306" totalsRowBorderDxfId="305">
  <autoFilter ref="D101:L130"/>
  <tableColumns count="9">
    <tableColumn id="1" name="Colaborador/Dia" dataDxfId="304"/>
    <tableColumn id="9" name="Almuerzo" dataDxfId="303"/>
    <tableColumn id="2" name="LUNES 03" dataDxfId="302"/>
    <tableColumn id="3" name="MARTES 04" dataDxfId="301"/>
    <tableColumn id="4" name="MIÉRCOLES 05" dataDxfId="300"/>
    <tableColumn id="5" name="JUEVES 06" dataDxfId="299"/>
    <tableColumn id="6" name="VIERNES 07" dataDxfId="298"/>
    <tableColumn id="7" name="SÁBADO 08" dataDxfId="297"/>
    <tableColumn id="8" name="DOMINGO 09" dataDxfId="29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a25" displayName="Tabla25" ref="B2:I11" totalsRowShown="0" headerRowDxfId="259" headerRowBorderDxfId="258" tableBorderDxfId="257" totalsRowBorderDxfId="256">
  <autoFilter ref="B2:I11"/>
  <tableColumns count="8">
    <tableColumn id="1" name="Colaborador/Dia" dataDxfId="255"/>
    <tableColumn id="2" name="LUNES 19" dataDxfId="254"/>
    <tableColumn id="3" name="MARTES 20" dataDxfId="253"/>
    <tableColumn id="4" name="MIÉRCOLES 21" dataDxfId="252"/>
    <tableColumn id="5" name="JUEVES 22" dataDxfId="251"/>
    <tableColumn id="6" name="VIERNES 23" dataDxfId="250"/>
    <tableColumn id="7" name="SÁBADO 24" dataDxfId="249"/>
    <tableColumn id="8" name="DOMINGO 25" dataDxfId="24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6" name="Tabla257" displayName="Tabla257" ref="B14:I25" totalsRowShown="0" headerRowDxfId="247" headerRowBorderDxfId="246" tableBorderDxfId="245" totalsRowBorderDxfId="244">
  <autoFilter ref="B14:I25"/>
  <tableColumns count="8">
    <tableColumn id="1" name="Colaborador/Dia" dataDxfId="243"/>
    <tableColumn id="2" name="LUNES 26" dataDxfId="242"/>
    <tableColumn id="3" name="MARTES 27" dataDxfId="241"/>
    <tableColumn id="4" name="MIÉRCOLES 28" dataDxfId="240"/>
    <tableColumn id="5" name="JUEVES 29" dataDxfId="239"/>
    <tableColumn id="6" name="VIERNES 30" dataDxfId="238"/>
    <tableColumn id="7" name="SÁBADO 01" dataDxfId="237"/>
    <tableColumn id="8" name="DOMINGO 02" dataDxfId="23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1" name="Tabla2572" displayName="Tabla2572" ref="B35:I46" totalsRowShown="0" headerRowDxfId="235" headerRowBorderDxfId="234" tableBorderDxfId="233" totalsRowBorderDxfId="232">
  <autoFilter ref="B35:I46"/>
  <tableColumns count="8">
    <tableColumn id="1" name="Colaborador/Dia" dataDxfId="231"/>
    <tableColumn id="2" name="LUNES 03" dataDxfId="230"/>
    <tableColumn id="3" name="MARTES 04" dataDxfId="229"/>
    <tableColumn id="4" name="MIÉRCOLES 05" dataDxfId="228"/>
    <tableColumn id="5" name="JUEVES 06" dataDxfId="227"/>
    <tableColumn id="6" name="VIERNES 07" dataDxfId="226"/>
    <tableColumn id="7" name="SÁBADO 08" dataDxfId="225"/>
    <tableColumn id="8" name="DOMINGO 09" dataDxfId="22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15" name="Tabla257216" displayName="Tabla257216" ref="B60:I71" totalsRowShown="0" headerRowDxfId="223" headerRowBorderDxfId="222" tableBorderDxfId="221" totalsRowBorderDxfId="220">
  <autoFilter ref="B60:I71"/>
  <tableColumns count="8">
    <tableColumn id="1" name="Colaborador/Dia" dataDxfId="219"/>
    <tableColumn id="2" name="LUNES 10" dataDxfId="218"/>
    <tableColumn id="3" name="MARTES 11" dataDxfId="217"/>
    <tableColumn id="4" name="MIÉRCOLES 12" dataDxfId="216"/>
    <tableColumn id="5" name="JUEVES 13" dataDxfId="215"/>
    <tableColumn id="6" name="VIERNES 14" dataDxfId="214"/>
    <tableColumn id="7" name="SÁBADO 15" dataDxfId="213"/>
    <tableColumn id="8" name="DOMINGO 16" dataDxfId="21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24" name="Tabla25721625" displayName="Tabla25721625" ref="B80:I91" totalsRowShown="0" headerRowDxfId="55" headerRowBorderDxfId="53" tableBorderDxfId="54" totalsRowBorderDxfId="52">
  <autoFilter ref="B80:I91"/>
  <tableColumns count="8">
    <tableColumn id="1" name="Colaborador/Dia" dataDxfId="51"/>
    <tableColumn id="2" name="LUNES 17" dataDxfId="50"/>
    <tableColumn id="3" name="MARTES 18" dataDxfId="49"/>
    <tableColumn id="4" name="MIÉRCOLES 19" dataDxfId="48"/>
    <tableColumn id="5" name="JUEVES 20" dataDxfId="47"/>
    <tableColumn id="6" name="VIERNES 21" dataDxfId="46"/>
    <tableColumn id="7" name="SÁBADO 22" dataDxfId="45"/>
    <tableColumn id="8" name="DOMINGO 23" dataDxfId="44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3" name="Tabla24" displayName="Tabla24" ref="B3:I7" totalsRowShown="0" headerRowDxfId="295" headerRowBorderDxfId="294" tableBorderDxfId="293" totalsRowBorderDxfId="292">
  <autoFilter ref="B3:I7"/>
  <tableColumns count="8">
    <tableColumn id="1" name="Colaborador/Dia" dataDxfId="291"/>
    <tableColumn id="2" name="LUNES 19" dataDxfId="290"/>
    <tableColumn id="3" name="MARTES 20" dataDxfId="289"/>
    <tableColumn id="4" name="MIÉRCOLES 21" dataDxfId="288"/>
    <tableColumn id="5" name="JUEVES 22" dataDxfId="287"/>
    <tableColumn id="6" name="VIERNES 23" dataDxfId="286"/>
    <tableColumn id="7" name="SÁBADO 24" dataDxfId="285"/>
    <tableColumn id="8" name="DOMINGO 25" dataDxfId="28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2" name="Tabla2413" displayName="Tabla2413" ref="B16:I20" totalsRowShown="0" headerRowDxfId="283" headerRowBorderDxfId="282" tableBorderDxfId="281" totalsRowBorderDxfId="280">
  <autoFilter ref="B16:I20"/>
  <tableColumns count="8">
    <tableColumn id="1" name="Colaborador/Dia" dataDxfId="279"/>
    <tableColumn id="2" name="LUNES 26" dataDxfId="278"/>
    <tableColumn id="3" name="MARTES 27" dataDxfId="277"/>
    <tableColumn id="4" name="MIÉRCOLES 28" dataDxfId="276"/>
    <tableColumn id="5" name="JUEVES 29" dataDxfId="275"/>
    <tableColumn id="6" name="VIERNES 30" dataDxfId="274"/>
    <tableColumn id="7" name="SÁBADO 01" dataDxfId="273"/>
    <tableColumn id="8" name="DOMINGO 02" dataDxfId="272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4" name="Tabla241315" displayName="Tabla241315" ref="B34:I40" totalsRowShown="0" headerRowDxfId="271" headerRowBorderDxfId="270" tableBorderDxfId="269" totalsRowBorderDxfId="268">
  <autoFilter ref="B34:I40"/>
  <tableColumns count="8">
    <tableColumn id="1" name="Colaborador/Dia" dataDxfId="267"/>
    <tableColumn id="2" name="LUNES 10" dataDxfId="266"/>
    <tableColumn id="3" name="MARTES 11" dataDxfId="265"/>
    <tableColumn id="4" name="MIÉRCOLES 12" dataDxfId="264"/>
    <tableColumn id="5" name="JUEVES 13" dataDxfId="263"/>
    <tableColumn id="6" name="VIERNES 14" dataDxfId="262"/>
    <tableColumn id="7" name="SÁBADO 15" dataDxfId="261"/>
    <tableColumn id="8" name="DOMINGO 16" dataDxfId="260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23" name="Tabla24131524" displayName="Tabla24131524" ref="B49:I55" totalsRowShown="0" headerRowDxfId="67" headerRowBorderDxfId="65" tableBorderDxfId="66" totalsRowBorderDxfId="64">
  <autoFilter ref="B49:I55"/>
  <tableColumns count="8">
    <tableColumn id="1" name="Colaborador/Dia" dataDxfId="63"/>
    <tableColumn id="2" name="LUNES 17" dataDxfId="62"/>
    <tableColumn id="3" name="MARTES 18" dataDxfId="61"/>
    <tableColumn id="4" name="MIÉRCOLES 19" dataDxfId="60"/>
    <tableColumn id="5" name="JUEVES 20" dataDxfId="59"/>
    <tableColumn id="6" name="VIERNES 21" dataDxfId="58"/>
    <tableColumn id="7" name="SÁBADO 22" dataDxfId="57"/>
    <tableColumn id="8" name="DOMINGO 23" dataDxfId="5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8" name="Tabla2569" displayName="Tabla2569" ref="B2:I9" totalsRowShown="0" headerRowDxfId="211" headerRowBorderDxfId="210" tableBorderDxfId="209" totalsRowBorderDxfId="208">
  <autoFilter ref="B2:I9"/>
  <tableColumns count="8">
    <tableColumn id="1" name="Colaborador/Dia" dataDxfId="207"/>
    <tableColumn id="2" name="LUNES 19" dataDxfId="206"/>
    <tableColumn id="3" name="MARTES 20" dataDxfId="205"/>
    <tableColumn id="4" name="MIÉRCOLES 21" dataDxfId="204"/>
    <tableColumn id="5" name="JUEVES 22" dataDxfId="203"/>
    <tableColumn id="6" name="VIERNES 23" dataDxfId="202"/>
    <tableColumn id="7" name="SÁBADO 24" dataDxfId="201"/>
    <tableColumn id="8" name="DOMINGO 25" dataDxfId="200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7" name="Tabla25698" displayName="Tabla25698" ref="B14:I22" totalsRowShown="0" headerRowDxfId="199" headerRowBorderDxfId="198" tableBorderDxfId="197" totalsRowBorderDxfId="196">
  <autoFilter ref="B14:I22"/>
  <tableColumns count="8">
    <tableColumn id="1" name="Colaborador/Dia" dataDxfId="195"/>
    <tableColumn id="2" name="LUNES 26" dataDxfId="194"/>
    <tableColumn id="3" name="MARTES 27" dataDxfId="193"/>
    <tableColumn id="4" name="MIÉRCOLES 28" dataDxfId="192"/>
    <tableColumn id="5" name="JUEVES 29" dataDxfId="191"/>
    <tableColumn id="6" name="VIERNES 30" dataDxfId="190"/>
    <tableColumn id="7" name="SÁBADO 01" dataDxfId="189"/>
    <tableColumn id="8" name="DOMINGO 02" dataDxfId="188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6" name="Tabla2569817" displayName="Tabla2569817" ref="B31:I39" totalsRowShown="0" headerRowDxfId="187" headerRowBorderDxfId="186" tableBorderDxfId="185" totalsRowBorderDxfId="184">
  <autoFilter ref="B31:I39"/>
  <tableColumns count="8">
    <tableColumn id="1" name="Colaborador/Dia" dataDxfId="183"/>
    <tableColumn id="2" name="LUNES 03" dataDxfId="182"/>
    <tableColumn id="3" name="MARTES 04" dataDxfId="181"/>
    <tableColumn id="4" name="MIÉRCOLES 05" dataDxfId="180"/>
    <tableColumn id="5" name="JUEVES 06" dataDxfId="179"/>
    <tableColumn id="6" name="VIERNES 07" dataDxfId="178"/>
    <tableColumn id="7" name="SÁBADO 08" dataDxfId="177"/>
    <tableColumn id="8" name="DOMINGO 09" dataDxfId="176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7" name="Tabla256981718" displayName="Tabla256981718" ref="B50:I58" totalsRowShown="0" headerRowDxfId="175" headerRowBorderDxfId="174" tableBorderDxfId="173" totalsRowBorderDxfId="172">
  <autoFilter ref="B50:I58"/>
  <tableColumns count="8">
    <tableColumn id="1" name="Colaborador/Dia" dataDxfId="171"/>
    <tableColumn id="2" name="LUNES 10" dataDxfId="170"/>
    <tableColumn id="3" name="MARTES 11" dataDxfId="169"/>
    <tableColumn id="4" name="MIÉRCOLES 12" dataDxfId="168"/>
    <tableColumn id="5" name="JUEVES 13" dataDxfId="167"/>
    <tableColumn id="6" name="VIERNES 14" dataDxfId="166"/>
    <tableColumn id="7" name="SÁBADO 15" dataDxfId="165"/>
    <tableColumn id="8" name="DOMINGO 16" dataDxfId="164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25" name="Tabla25698171826" displayName="Tabla25698171826" ref="B72:I80" totalsRowShown="0" headerRowDxfId="43" headerRowBorderDxfId="41" tableBorderDxfId="42" totalsRowBorderDxfId="40">
  <autoFilter ref="B72:I80"/>
  <tableColumns count="8">
    <tableColumn id="1" name="Colaborador/Dia" dataDxfId="39"/>
    <tableColumn id="2" name="LUNES 17" dataDxfId="38"/>
    <tableColumn id="3" name="MARTES 18" dataDxfId="37"/>
    <tableColumn id="4" name="MIÉRCOLES 19" dataDxfId="36"/>
    <tableColumn id="5" name="JUEVES 20" dataDxfId="35"/>
    <tableColumn id="6" name="VIERNES 21" dataDxfId="34"/>
    <tableColumn id="7" name="SÁBADO 22" dataDxfId="33"/>
    <tableColumn id="8" name="DOMINGO 23" dataDxfId="32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9" name="Tabla256910" displayName="Tabla256910" ref="B2:I12" totalsRowShown="0" headerRowDxfId="163" headerRowBorderDxfId="162" tableBorderDxfId="161" totalsRowBorderDxfId="160">
  <autoFilter ref="B2:I12"/>
  <tableColumns count="8">
    <tableColumn id="1" name="Colaborador/Dia" dataDxfId="159"/>
    <tableColumn id="2" name="LUNES 19" dataDxfId="158"/>
    <tableColumn id="3" name="MARTES 20" dataDxfId="157"/>
    <tableColumn id="4" name="MIÉRCOLES 21" dataDxfId="156"/>
    <tableColumn id="5" name="JUEVES 22" dataDxfId="155"/>
    <tableColumn id="6" name="VIERNES 23" dataDxfId="154"/>
    <tableColumn id="7" name="SÁBADO 24" dataDxfId="153"/>
    <tableColumn id="8" name="DOMINGO 25" dataDxfId="152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id="10" name="Tabla25691011" displayName="Tabla25691011" ref="B17:I29" totalsRowShown="0" headerRowDxfId="151" headerRowBorderDxfId="150" tableBorderDxfId="149" totalsRowBorderDxfId="148">
  <autoFilter ref="B17:I29"/>
  <tableColumns count="8">
    <tableColumn id="1" name="Colaborador/Dia" dataDxfId="147"/>
    <tableColumn id="2" name="LUNES 26" dataDxfId="146"/>
    <tableColumn id="3" name="MARTES 27" dataDxfId="145"/>
    <tableColumn id="4" name="MIÉRCOLES 28" dataDxfId="144"/>
    <tableColumn id="5" name="JUEVES 29" dataDxfId="143"/>
    <tableColumn id="6" name="VIERNES 30" dataDxfId="142"/>
    <tableColumn id="7" name="SÁBADO 01" dataDxfId="141"/>
    <tableColumn id="8" name="DOMINGO 02" dataDxfId="140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id="21" name="Tabla2569101122" displayName="Tabla2569101122" ref="B37:I49" totalsRowShown="0" headerRowDxfId="139" headerRowBorderDxfId="138" tableBorderDxfId="137" totalsRowBorderDxfId="136">
  <autoFilter ref="B37:I49"/>
  <tableColumns count="8">
    <tableColumn id="1" name="Colaborador/Dia" dataDxfId="135"/>
    <tableColumn id="2" name="LUNES 03" dataDxfId="134"/>
    <tableColumn id="3" name="MARTES 04" dataDxfId="133"/>
    <tableColumn id="4" name="MIÉRCOLES 05" dataDxfId="132"/>
    <tableColumn id="5" name="JUEVES 06" dataDxfId="131"/>
    <tableColumn id="6" name="VIERNES 07" dataDxfId="130"/>
    <tableColumn id="7" name="SÁBADO 08" dataDxfId="129"/>
    <tableColumn id="8" name="DOMINGO 09" dataDxfId="128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id="19" name="Tabla256910112220" displayName="Tabla256910112220" ref="B62:I74" totalsRowShown="0" headerRowDxfId="127" headerRowBorderDxfId="126" tableBorderDxfId="125" totalsRowBorderDxfId="124">
  <autoFilter ref="B62:I74"/>
  <tableColumns count="8">
    <tableColumn id="1" name="Colaborador/Dia" dataDxfId="123"/>
    <tableColumn id="2" name="LUNES 10" dataDxfId="122"/>
    <tableColumn id="3" name="MARTES 11" dataDxfId="121"/>
    <tableColumn id="4" name="MIÉRCOLES 12" dataDxfId="120"/>
    <tableColumn id="5" name="JUEVES 13" dataDxfId="119"/>
    <tableColumn id="6" name="VIERNES 14" dataDxfId="118"/>
    <tableColumn id="7" name="SÁBADO 15" dataDxfId="117"/>
    <tableColumn id="8" name="DOMINGO 16" dataDxfId="116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id="26" name="Tabla25691011222027" displayName="Tabla25691011222027" ref="B88:I100" totalsRowShown="0" headerRowDxfId="31" headerRowBorderDxfId="29" tableBorderDxfId="30" totalsRowBorderDxfId="28">
  <autoFilter ref="B88:I100"/>
  <tableColumns count="8">
    <tableColumn id="1" name="Colaborador/Dia" dataDxfId="27"/>
    <tableColumn id="2" name="LUNES 17" dataDxfId="26"/>
    <tableColumn id="3" name="MARTES 18" dataDxfId="25"/>
    <tableColumn id="4" name="MIÉRCOLES 19" dataDxfId="24"/>
    <tableColumn id="5" name="JUEVES 20" dataDxfId="23"/>
    <tableColumn id="6" name="VIERNES 21" dataDxfId="22"/>
    <tableColumn id="7" name="SÁBADO 22" dataDxfId="21"/>
    <tableColumn id="8" name="DOMINGO 23" dataDxfId="20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id="5" name="Tabla256" displayName="Tabla256" ref="B2:I7" totalsRowShown="0" headerRowDxfId="115" headerRowBorderDxfId="114" tableBorderDxfId="113" totalsRowBorderDxfId="112">
  <autoFilter ref="B2:I7"/>
  <tableColumns count="8">
    <tableColumn id="1" name="Colaborador/Dia" dataDxfId="111"/>
    <tableColumn id="2" name="LUNES 19" dataDxfId="110"/>
    <tableColumn id="3" name="MARTES 20" dataDxfId="109"/>
    <tableColumn id="4" name="MIÉRCOLES 21" dataDxfId="108"/>
    <tableColumn id="5" name="JUEVES 22" dataDxfId="107"/>
    <tableColumn id="6" name="VIERNES 23" dataDxfId="106"/>
    <tableColumn id="7" name="SÁBADO 24" dataDxfId="105"/>
    <tableColumn id="8" name="DOMINGO 25" dataDxfId="104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id="11" name="Tabla25612" displayName="Tabla25612" ref="B13:I20" totalsRowShown="0" headerRowDxfId="103" headerRowBorderDxfId="102" tableBorderDxfId="101" totalsRowBorderDxfId="100">
  <autoFilter ref="B13:I20"/>
  <tableColumns count="8">
    <tableColumn id="1" name="Colaborador/Dia" dataDxfId="99"/>
    <tableColumn id="2" name="LUNES 26" dataDxfId="98"/>
    <tableColumn id="3" name="MARTES 27" dataDxfId="97"/>
    <tableColumn id="4" name="MIÉRCOLES 28" dataDxfId="96"/>
    <tableColumn id="5" name="JUEVES 29" dataDxfId="95"/>
    <tableColumn id="6" name="VIERNES 30" dataDxfId="94"/>
    <tableColumn id="7" name="SÁBADO 01" dataDxfId="93"/>
    <tableColumn id="8" name="DOMINGO 02" dataDxfId="92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id="20" name="Tabla2561221" displayName="Tabla2561221" ref="B29:I36" totalsRowShown="0" headerRowDxfId="91" headerRowBorderDxfId="90" tableBorderDxfId="89" totalsRowBorderDxfId="88">
  <autoFilter ref="B29:I36"/>
  <tableColumns count="8">
    <tableColumn id="1" name="Colaborador/Dia" dataDxfId="87"/>
    <tableColumn id="2" name="LUNES 03" dataDxfId="86"/>
    <tableColumn id="3" name="MARTES 04" dataDxfId="85"/>
    <tableColumn id="4" name="MIÉRCOLES 05" dataDxfId="84"/>
    <tableColumn id="5" name="JUEVES 06" dataDxfId="83"/>
    <tableColumn id="6" name="VIERNES 07" dataDxfId="82"/>
    <tableColumn id="7" name="SÁBADO 08" dataDxfId="81"/>
    <tableColumn id="8" name="DOMINGO 10" dataDxfId="80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id="22" name="Tabla256122123" displayName="Tabla256122123" ref="B46:I53" totalsRowShown="0" headerRowDxfId="79" headerRowBorderDxfId="78" tableBorderDxfId="77" totalsRowBorderDxfId="76">
  <autoFilter ref="B46:I53"/>
  <tableColumns count="8">
    <tableColumn id="1" name="Colaborador/Dia" dataDxfId="75"/>
    <tableColumn id="2" name="LUNES 10" dataDxfId="74"/>
    <tableColumn id="3" name="MARTES 11" dataDxfId="73"/>
    <tableColumn id="4" name="MIÉRCOLES 12" dataDxfId="72"/>
    <tableColumn id="5" name="JUEVES 13" dataDxfId="71"/>
    <tableColumn id="6" name="VIERNES 14" dataDxfId="70"/>
    <tableColumn id="7" name="SÁBADO 15" dataDxfId="69"/>
    <tableColumn id="8" name="DOMINGO 16" dataDxfId="68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id="27" name="Tabla25612212328" displayName="Tabla25612212328" ref="B62:I69" totalsRowShown="0" headerRowDxfId="19" headerRowBorderDxfId="17" tableBorderDxfId="18" totalsRowBorderDxfId="16">
  <autoFilter ref="B62:I69"/>
  <tableColumns count="8">
    <tableColumn id="1" name="Colaborador/Dia" dataDxfId="15"/>
    <tableColumn id="2" name="LUNES 17" dataDxfId="14"/>
    <tableColumn id="3" name="MARTES 18" dataDxfId="13"/>
    <tableColumn id="4" name="MIÉRCOLES 19" dataDxfId="12"/>
    <tableColumn id="5" name="JUEVES 20" dataDxfId="11"/>
    <tableColumn id="6" name="VIERNES 21" dataDxfId="10"/>
    <tableColumn id="7" name="SÁBADO 22" dataDxfId="9"/>
    <tableColumn id="8" name="DOMINGO 23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P211"/>
  <sheetViews>
    <sheetView showGridLines="0" tabSelected="1" topLeftCell="C186" zoomScale="60" zoomScaleNormal="60" workbookViewId="0">
      <selection activeCell="E205" sqref="E205"/>
    </sheetView>
  </sheetViews>
  <sheetFormatPr baseColWidth="10" defaultRowHeight="15" x14ac:dyDescent="0.25"/>
  <cols>
    <col min="1" max="2" width="8.42578125" style="136" customWidth="1"/>
    <col min="3" max="3" width="10.140625" bestFit="1" customWidth="1"/>
    <col min="4" max="4" width="55" bestFit="1" customWidth="1"/>
    <col min="5" max="5" width="30" bestFit="1" customWidth="1"/>
    <col min="6" max="6" width="48" bestFit="1" customWidth="1"/>
    <col min="7" max="10" width="41.5703125" bestFit="1" customWidth="1"/>
    <col min="11" max="11" width="30.85546875" bestFit="1" customWidth="1"/>
    <col min="12" max="12" width="33.7109375" customWidth="1"/>
    <col min="14" max="14" width="55.140625" bestFit="1" customWidth="1"/>
    <col min="15" max="15" width="8.5703125" customWidth="1"/>
  </cols>
  <sheetData>
    <row r="1" spans="3:11" ht="21" x14ac:dyDescent="0.35">
      <c r="D1" s="296" t="s">
        <v>35</v>
      </c>
      <c r="E1" s="296"/>
      <c r="F1" s="296"/>
      <c r="G1" s="296"/>
      <c r="H1" s="296"/>
      <c r="I1" s="296"/>
      <c r="J1" s="296"/>
      <c r="K1" s="296"/>
    </row>
    <row r="2" spans="3:11" ht="82.5" customHeight="1" x14ac:dyDescent="0.25">
      <c r="D2" s="17" t="s">
        <v>38</v>
      </c>
      <c r="E2" s="16" t="s">
        <v>36</v>
      </c>
      <c r="F2" s="16" t="s">
        <v>37</v>
      </c>
      <c r="G2" s="16" t="s">
        <v>39</v>
      </c>
      <c r="H2" s="16" t="s">
        <v>40</v>
      </c>
      <c r="I2" s="16" t="s">
        <v>41</v>
      </c>
      <c r="J2" s="16" t="s">
        <v>42</v>
      </c>
      <c r="K2" s="16" t="s">
        <v>43</v>
      </c>
    </row>
    <row r="3" spans="3:11" x14ac:dyDescent="0.25">
      <c r="C3">
        <v>1</v>
      </c>
      <c r="D3" s="11" t="s">
        <v>22</v>
      </c>
      <c r="E3" s="26" t="s">
        <v>17</v>
      </c>
      <c r="F3" s="31" t="s">
        <v>69</v>
      </c>
      <c r="G3" s="26" t="s">
        <v>17</v>
      </c>
      <c r="H3" s="26" t="s">
        <v>17</v>
      </c>
      <c r="I3" s="26" t="s">
        <v>17</v>
      </c>
      <c r="J3" s="26" t="s">
        <v>17</v>
      </c>
      <c r="K3" s="43" t="s">
        <v>76</v>
      </c>
    </row>
    <row r="4" spans="3:11" x14ac:dyDescent="0.25">
      <c r="C4">
        <v>2</v>
      </c>
      <c r="D4" s="11" t="s">
        <v>23</v>
      </c>
      <c r="E4" s="24" t="s">
        <v>72</v>
      </c>
      <c r="F4" s="24" t="s">
        <v>72</v>
      </c>
      <c r="G4" s="24" t="s">
        <v>72</v>
      </c>
      <c r="H4" s="24" t="s">
        <v>72</v>
      </c>
      <c r="I4" s="24" t="s">
        <v>72</v>
      </c>
      <c r="J4" s="24" t="s">
        <v>74</v>
      </c>
      <c r="K4" s="31" t="s">
        <v>69</v>
      </c>
    </row>
    <row r="5" spans="3:11" x14ac:dyDescent="0.25">
      <c r="C5">
        <v>3</v>
      </c>
      <c r="D5" s="11" t="s">
        <v>24</v>
      </c>
      <c r="E5" s="26" t="s">
        <v>17</v>
      </c>
      <c r="F5" s="26" t="s">
        <v>17</v>
      </c>
      <c r="G5" s="26" t="s">
        <v>17</v>
      </c>
      <c r="H5" s="31" t="s">
        <v>69</v>
      </c>
      <c r="I5" s="26" t="s">
        <v>17</v>
      </c>
      <c r="J5" s="24" t="s">
        <v>74</v>
      </c>
      <c r="K5" s="43" t="s">
        <v>76</v>
      </c>
    </row>
    <row r="6" spans="3:11" x14ac:dyDescent="0.25">
      <c r="C6">
        <v>4</v>
      </c>
      <c r="D6" s="11" t="s">
        <v>25</v>
      </c>
      <c r="E6" s="26" t="s">
        <v>17</v>
      </c>
      <c r="F6" s="26" t="s">
        <v>17</v>
      </c>
      <c r="G6" s="31" t="s">
        <v>69</v>
      </c>
      <c r="H6" s="26" t="s">
        <v>17</v>
      </c>
      <c r="I6" s="26" t="s">
        <v>17</v>
      </c>
      <c r="J6" s="26" t="s">
        <v>17</v>
      </c>
      <c r="K6" s="43" t="s">
        <v>76</v>
      </c>
    </row>
    <row r="7" spans="3:11" x14ac:dyDescent="0.25">
      <c r="C7">
        <v>5</v>
      </c>
      <c r="D7" s="11" t="s">
        <v>26</v>
      </c>
      <c r="E7" s="24" t="s">
        <v>72</v>
      </c>
      <c r="F7" s="24" t="s">
        <v>72</v>
      </c>
      <c r="G7" s="24" t="s">
        <v>72</v>
      </c>
      <c r="H7" s="24" t="s">
        <v>72</v>
      </c>
      <c r="I7" s="24" t="s">
        <v>72</v>
      </c>
      <c r="J7" s="24" t="s">
        <v>74</v>
      </c>
      <c r="K7" s="31" t="s">
        <v>69</v>
      </c>
    </row>
    <row r="8" spans="3:11" x14ac:dyDescent="0.25">
      <c r="C8">
        <v>6</v>
      </c>
      <c r="D8" s="11" t="s">
        <v>27</v>
      </c>
      <c r="E8" s="24" t="s">
        <v>72</v>
      </c>
      <c r="F8" s="24" t="s">
        <v>72</v>
      </c>
      <c r="G8" s="24" t="s">
        <v>72</v>
      </c>
      <c r="H8" s="24" t="s">
        <v>72</v>
      </c>
      <c r="I8" s="24" t="s">
        <v>72</v>
      </c>
      <c r="J8" s="24" t="s">
        <v>74</v>
      </c>
      <c r="K8" s="31" t="s">
        <v>69</v>
      </c>
    </row>
    <row r="9" spans="3:11" x14ac:dyDescent="0.25">
      <c r="C9">
        <v>7</v>
      </c>
      <c r="D9" s="11" t="s">
        <v>28</v>
      </c>
      <c r="E9" s="26" t="s">
        <v>17</v>
      </c>
      <c r="F9" s="26" t="s">
        <v>17</v>
      </c>
      <c r="G9" s="26" t="s">
        <v>17</v>
      </c>
      <c r="H9" s="26" t="s">
        <v>17</v>
      </c>
      <c r="I9" s="24" t="s">
        <v>72</v>
      </c>
      <c r="J9" s="26" t="s">
        <v>17</v>
      </c>
      <c r="K9" s="31" t="s">
        <v>69</v>
      </c>
    </row>
    <row r="10" spans="3:11" x14ac:dyDescent="0.25">
      <c r="C10">
        <v>8</v>
      </c>
      <c r="D10" s="11" t="s">
        <v>29</v>
      </c>
      <c r="E10" s="24" t="s">
        <v>72</v>
      </c>
      <c r="F10" s="24" t="s">
        <v>72</v>
      </c>
      <c r="G10" s="24" t="s">
        <v>72</v>
      </c>
      <c r="H10" s="24" t="s">
        <v>72</v>
      </c>
      <c r="I10" s="49" t="s">
        <v>69</v>
      </c>
      <c r="J10" s="24" t="s">
        <v>74</v>
      </c>
      <c r="K10" s="43" t="s">
        <v>76</v>
      </c>
    </row>
    <row r="11" spans="3:11" x14ac:dyDescent="0.25">
      <c r="C11">
        <v>9</v>
      </c>
      <c r="D11" s="47" t="s">
        <v>30</v>
      </c>
      <c r="E11" s="48" t="s">
        <v>17</v>
      </c>
      <c r="F11" s="48" t="s">
        <v>17</v>
      </c>
      <c r="G11" s="48" t="s">
        <v>17</v>
      </c>
      <c r="H11" s="24" t="s">
        <v>72</v>
      </c>
      <c r="I11" s="48" t="s">
        <v>17</v>
      </c>
      <c r="J11" s="48" t="s">
        <v>17</v>
      </c>
      <c r="K11" s="49" t="s">
        <v>69</v>
      </c>
    </row>
    <row r="12" spans="3:11" x14ac:dyDescent="0.25">
      <c r="C12">
        <v>10</v>
      </c>
      <c r="D12" s="47" t="s">
        <v>31</v>
      </c>
      <c r="E12" s="50" t="s">
        <v>72</v>
      </c>
      <c r="F12" s="50" t="s">
        <v>72</v>
      </c>
      <c r="G12" s="50" t="s">
        <v>72</v>
      </c>
      <c r="H12" s="49" t="s">
        <v>69</v>
      </c>
      <c r="I12" s="50" t="s">
        <v>72</v>
      </c>
      <c r="J12" s="50" t="s">
        <v>74</v>
      </c>
      <c r="K12" s="51" t="s">
        <v>76</v>
      </c>
    </row>
    <row r="13" spans="3:11" x14ac:dyDescent="0.25">
      <c r="C13">
        <v>11</v>
      </c>
      <c r="D13" s="11" t="s">
        <v>33</v>
      </c>
      <c r="E13" s="24" t="s">
        <v>72</v>
      </c>
      <c r="F13" s="24" t="s">
        <v>72</v>
      </c>
      <c r="G13" s="24" t="s">
        <v>72</v>
      </c>
      <c r="H13" s="24" t="s">
        <v>72</v>
      </c>
      <c r="I13" s="24" t="s">
        <v>72</v>
      </c>
      <c r="J13" s="24" t="s">
        <v>74</v>
      </c>
      <c r="K13" s="31" t="s">
        <v>69</v>
      </c>
    </row>
    <row r="14" spans="3:11" ht="15.75" thickBot="1" x14ac:dyDescent="0.3">
      <c r="C14">
        <v>12</v>
      </c>
      <c r="D14" s="44" t="s">
        <v>34</v>
      </c>
      <c r="E14" s="31" t="s">
        <v>69</v>
      </c>
      <c r="F14" s="45" t="s">
        <v>17</v>
      </c>
      <c r="G14" s="45" t="s">
        <v>17</v>
      </c>
      <c r="H14" s="45" t="s">
        <v>17</v>
      </c>
      <c r="I14" s="45" t="s">
        <v>17</v>
      </c>
      <c r="J14" s="45" t="s">
        <v>17</v>
      </c>
      <c r="K14" s="46" t="s">
        <v>76</v>
      </c>
    </row>
    <row r="15" spans="3:11" ht="15.75" thickTop="1" x14ac:dyDescent="0.25">
      <c r="C15">
        <v>1</v>
      </c>
      <c r="D15" s="23" t="s">
        <v>32</v>
      </c>
      <c r="E15" s="42" t="s">
        <v>73</v>
      </c>
      <c r="F15" s="42" t="s">
        <v>73</v>
      </c>
      <c r="G15" s="42" t="s">
        <v>73</v>
      </c>
      <c r="H15" s="42" t="s">
        <v>73</v>
      </c>
      <c r="I15" s="31" t="s">
        <v>69</v>
      </c>
      <c r="J15" s="42" t="s">
        <v>75</v>
      </c>
      <c r="K15" s="43" t="s">
        <v>76</v>
      </c>
    </row>
    <row r="16" spans="3:11" x14ac:dyDescent="0.25">
      <c r="C16">
        <v>2</v>
      </c>
      <c r="D16" s="33" t="s">
        <v>77</v>
      </c>
      <c r="E16" s="34" t="s">
        <v>78</v>
      </c>
      <c r="F16" s="34" t="s">
        <v>78</v>
      </c>
      <c r="G16" s="34" t="s">
        <v>78</v>
      </c>
      <c r="H16" s="34" t="s">
        <v>78</v>
      </c>
      <c r="I16" s="34" t="s">
        <v>17</v>
      </c>
      <c r="J16" s="34" t="s">
        <v>78</v>
      </c>
      <c r="K16" s="31" t="s">
        <v>69</v>
      </c>
    </row>
    <row r="17" spans="1:11" x14ac:dyDescent="0.25">
      <c r="C17">
        <v>3</v>
      </c>
      <c r="D17" s="13" t="s">
        <v>79</v>
      </c>
      <c r="E17" s="26" t="s">
        <v>17</v>
      </c>
      <c r="F17" s="26" t="s">
        <v>17</v>
      </c>
      <c r="G17" s="26" t="s">
        <v>17</v>
      </c>
      <c r="H17" s="26" t="s">
        <v>17</v>
      </c>
      <c r="I17" s="24" t="s">
        <v>72</v>
      </c>
      <c r="J17" s="26" t="s">
        <v>17</v>
      </c>
      <c r="K17" s="31" t="s">
        <v>69</v>
      </c>
    </row>
    <row r="18" spans="1:11" x14ac:dyDescent="0.25">
      <c r="D18" s="52" t="s">
        <v>104</v>
      </c>
      <c r="E18" s="53">
        <v>6</v>
      </c>
      <c r="F18" s="53">
        <v>6</v>
      </c>
      <c r="G18" s="53">
        <v>6</v>
      </c>
      <c r="H18" s="53">
        <v>5</v>
      </c>
      <c r="I18" s="53">
        <v>6</v>
      </c>
      <c r="J18" s="53">
        <v>6</v>
      </c>
      <c r="K18" s="54">
        <v>7</v>
      </c>
    </row>
    <row r="19" spans="1:11" x14ac:dyDescent="0.25">
      <c r="D19" s="52" t="s">
        <v>105</v>
      </c>
      <c r="E19" s="53">
        <v>7</v>
      </c>
      <c r="F19" s="53">
        <v>7</v>
      </c>
      <c r="G19" s="53">
        <v>7</v>
      </c>
      <c r="H19" s="53">
        <v>7</v>
      </c>
      <c r="I19" s="53">
        <v>7</v>
      </c>
      <c r="J19" s="53">
        <v>8</v>
      </c>
      <c r="K19" s="54">
        <v>6</v>
      </c>
    </row>
    <row r="20" spans="1:11" x14ac:dyDescent="0.25">
      <c r="D20" s="52" t="s">
        <v>106</v>
      </c>
      <c r="E20" s="53">
        <v>1</v>
      </c>
      <c r="F20" s="53">
        <v>1</v>
      </c>
      <c r="G20" s="53">
        <v>1</v>
      </c>
      <c r="H20" s="53">
        <v>2</v>
      </c>
      <c r="I20" s="53">
        <v>2</v>
      </c>
      <c r="J20" s="53">
        <v>0</v>
      </c>
      <c r="K20" s="54">
        <v>9</v>
      </c>
    </row>
    <row r="21" spans="1:11" x14ac:dyDescent="0.25">
      <c r="D21" s="55"/>
      <c r="E21" s="55"/>
      <c r="F21" s="55"/>
      <c r="G21" s="55"/>
      <c r="H21" s="55"/>
      <c r="I21" s="55"/>
      <c r="J21" s="55"/>
      <c r="K21" s="55"/>
    </row>
    <row r="22" spans="1:11" ht="46.5" customHeight="1" x14ac:dyDescent="0.25"/>
    <row r="23" spans="1:11" ht="21" x14ac:dyDescent="0.35">
      <c r="D23" s="296" t="s">
        <v>83</v>
      </c>
      <c r="E23" s="296"/>
      <c r="F23" s="296"/>
      <c r="G23" s="296"/>
      <c r="H23" s="296"/>
      <c r="I23" s="296"/>
      <c r="J23" s="296"/>
      <c r="K23" s="296"/>
    </row>
    <row r="24" spans="1:11" ht="84.75" customHeight="1" x14ac:dyDescent="0.25">
      <c r="D24" s="155" t="s">
        <v>38</v>
      </c>
      <c r="E24" s="155" t="s">
        <v>149</v>
      </c>
      <c r="F24" s="155" t="s">
        <v>150</v>
      </c>
      <c r="G24" s="155" t="s">
        <v>151</v>
      </c>
      <c r="H24" s="155" t="s">
        <v>152</v>
      </c>
      <c r="I24" s="155" t="s">
        <v>153</v>
      </c>
      <c r="J24" s="155" t="s">
        <v>154</v>
      </c>
      <c r="K24" s="155" t="s">
        <v>155</v>
      </c>
    </row>
    <row r="25" spans="1:11" ht="54.75" customHeight="1" x14ac:dyDescent="0.25">
      <c r="C25" s="11">
        <v>1</v>
      </c>
      <c r="D25" s="74" t="s">
        <v>124</v>
      </c>
      <c r="E25" s="75" t="s">
        <v>72</v>
      </c>
      <c r="F25" s="75" t="s">
        <v>72</v>
      </c>
      <c r="G25" s="75" t="s">
        <v>72</v>
      </c>
      <c r="H25" s="75" t="s">
        <v>72</v>
      </c>
      <c r="I25" s="75" t="s">
        <v>72</v>
      </c>
      <c r="J25" s="75" t="s">
        <v>74</v>
      </c>
      <c r="K25" s="76" t="s">
        <v>69</v>
      </c>
    </row>
    <row r="26" spans="1:11" ht="54.75" customHeight="1" x14ac:dyDescent="0.25">
      <c r="C26" s="11">
        <v>2</v>
      </c>
      <c r="D26" s="77" t="s">
        <v>123</v>
      </c>
      <c r="E26" s="78" t="s">
        <v>17</v>
      </c>
      <c r="F26" s="76" t="s">
        <v>134</v>
      </c>
      <c r="G26" s="78" t="s">
        <v>17</v>
      </c>
      <c r="H26" s="78" t="s">
        <v>17</v>
      </c>
      <c r="I26" s="78" t="s">
        <v>17</v>
      </c>
      <c r="J26" s="78" t="s">
        <v>17</v>
      </c>
      <c r="K26" s="79" t="s">
        <v>76</v>
      </c>
    </row>
    <row r="27" spans="1:11" ht="54.75" customHeight="1" x14ac:dyDescent="0.25">
      <c r="C27" s="11">
        <v>3</v>
      </c>
      <c r="D27" s="74" t="s">
        <v>122</v>
      </c>
      <c r="E27" s="75" t="s">
        <v>72</v>
      </c>
      <c r="F27" s="75" t="s">
        <v>72</v>
      </c>
      <c r="G27" s="75" t="s">
        <v>72</v>
      </c>
      <c r="H27" s="75" t="s">
        <v>72</v>
      </c>
      <c r="I27" s="75" t="s">
        <v>72</v>
      </c>
      <c r="J27" s="75" t="s">
        <v>74</v>
      </c>
      <c r="K27" s="76" t="s">
        <v>69</v>
      </c>
    </row>
    <row r="28" spans="1:11" ht="54.75" customHeight="1" x14ac:dyDescent="0.25">
      <c r="C28" s="11">
        <v>4</v>
      </c>
      <c r="D28" s="77" t="s">
        <v>121</v>
      </c>
      <c r="E28" s="78" t="s">
        <v>17</v>
      </c>
      <c r="F28" s="78" t="s">
        <v>17</v>
      </c>
      <c r="G28" s="76" t="s">
        <v>69</v>
      </c>
      <c r="H28" s="78" t="s">
        <v>17</v>
      </c>
      <c r="I28" s="78" t="s">
        <v>17</v>
      </c>
      <c r="J28" s="78" t="s">
        <v>17</v>
      </c>
      <c r="K28" s="79" t="s">
        <v>76</v>
      </c>
    </row>
    <row r="29" spans="1:11" ht="54.75" customHeight="1" x14ac:dyDescent="0.25">
      <c r="C29" s="11">
        <v>5</v>
      </c>
      <c r="D29" s="77" t="s">
        <v>120</v>
      </c>
      <c r="E29" s="78" t="s">
        <v>17</v>
      </c>
      <c r="F29" s="78" t="s">
        <v>17</v>
      </c>
      <c r="G29" s="78" t="s">
        <v>17</v>
      </c>
      <c r="H29" s="76" t="s">
        <v>69</v>
      </c>
      <c r="I29" s="78" t="s">
        <v>17</v>
      </c>
      <c r="J29" s="78" t="s">
        <v>17</v>
      </c>
      <c r="K29" s="79" t="s">
        <v>76</v>
      </c>
    </row>
    <row r="30" spans="1:11" ht="54.75" customHeight="1" x14ac:dyDescent="0.25">
      <c r="C30" s="11">
        <v>6</v>
      </c>
      <c r="D30" s="77" t="s">
        <v>119</v>
      </c>
      <c r="E30" s="75" t="s">
        <v>72</v>
      </c>
      <c r="F30" s="75" t="s">
        <v>72</v>
      </c>
      <c r="G30" s="75" t="s">
        <v>72</v>
      </c>
      <c r="H30" s="76" t="s">
        <v>69</v>
      </c>
      <c r="I30" s="75" t="s">
        <v>72</v>
      </c>
      <c r="J30" s="75" t="s">
        <v>74</v>
      </c>
      <c r="K30" s="79" t="s">
        <v>76</v>
      </c>
    </row>
    <row r="31" spans="1:11" ht="54.75" customHeight="1" x14ac:dyDescent="0.25">
      <c r="C31" s="11">
        <v>7</v>
      </c>
      <c r="D31" s="74" t="s">
        <v>118</v>
      </c>
      <c r="E31" s="78" t="s">
        <v>17</v>
      </c>
      <c r="F31" s="78" t="s">
        <v>17</v>
      </c>
      <c r="G31" s="78" t="s">
        <v>17</v>
      </c>
      <c r="H31" s="75" t="s">
        <v>72</v>
      </c>
      <c r="I31" s="78" t="s">
        <v>17</v>
      </c>
      <c r="J31" s="78" t="s">
        <v>17</v>
      </c>
      <c r="K31" s="76" t="s">
        <v>69</v>
      </c>
    </row>
    <row r="32" spans="1:11" ht="54.75" customHeight="1" x14ac:dyDescent="0.25">
      <c r="A32" s="290" t="s">
        <v>141</v>
      </c>
      <c r="B32" s="137"/>
      <c r="C32" s="11">
        <v>8</v>
      </c>
      <c r="D32" s="77" t="s">
        <v>117</v>
      </c>
      <c r="E32" s="75" t="s">
        <v>72</v>
      </c>
      <c r="F32" s="75" t="s">
        <v>72</v>
      </c>
      <c r="G32" s="75" t="s">
        <v>72</v>
      </c>
      <c r="H32" s="75" t="s">
        <v>72</v>
      </c>
      <c r="I32" s="76" t="s">
        <v>69</v>
      </c>
      <c r="J32" s="75" t="s">
        <v>74</v>
      </c>
      <c r="K32" s="79" t="s">
        <v>76</v>
      </c>
    </row>
    <row r="33" spans="1:11" ht="54.75" customHeight="1" x14ac:dyDescent="0.25">
      <c r="A33" s="290"/>
      <c r="B33" s="137"/>
      <c r="C33" s="11">
        <v>9</v>
      </c>
      <c r="D33" s="74" t="s">
        <v>116</v>
      </c>
      <c r="E33" s="78" t="s">
        <v>17</v>
      </c>
      <c r="F33" s="78" t="s">
        <v>17</v>
      </c>
      <c r="G33" s="78" t="s">
        <v>17</v>
      </c>
      <c r="H33" s="78" t="s">
        <v>17</v>
      </c>
      <c r="I33" s="75" t="s">
        <v>72</v>
      </c>
      <c r="J33" s="78" t="s">
        <v>17</v>
      </c>
      <c r="K33" s="76" t="s">
        <v>69</v>
      </c>
    </row>
    <row r="34" spans="1:11" ht="54.75" customHeight="1" x14ac:dyDescent="0.25">
      <c r="C34" s="11">
        <v>10</v>
      </c>
      <c r="D34" s="77" t="s">
        <v>115</v>
      </c>
      <c r="E34" s="80" t="s">
        <v>69</v>
      </c>
      <c r="F34" s="78" t="s">
        <v>17</v>
      </c>
      <c r="G34" s="78" t="s">
        <v>17</v>
      </c>
      <c r="H34" s="78" t="s">
        <v>17</v>
      </c>
      <c r="I34" s="78" t="s">
        <v>17</v>
      </c>
      <c r="J34" s="78" t="s">
        <v>17</v>
      </c>
      <c r="K34" s="78" t="s">
        <v>76</v>
      </c>
    </row>
    <row r="35" spans="1:11" ht="54.75" customHeight="1" x14ac:dyDescent="0.25">
      <c r="C35" s="11">
        <v>11</v>
      </c>
      <c r="D35" s="74" t="s">
        <v>114</v>
      </c>
      <c r="E35" s="75" t="s">
        <v>72</v>
      </c>
      <c r="F35" s="75" t="s">
        <v>72</v>
      </c>
      <c r="G35" s="75" t="s">
        <v>72</v>
      </c>
      <c r="H35" s="75" t="s">
        <v>72</v>
      </c>
      <c r="I35" s="75" t="s">
        <v>72</v>
      </c>
      <c r="J35" s="75" t="s">
        <v>74</v>
      </c>
      <c r="K35" s="80" t="s">
        <v>69</v>
      </c>
    </row>
    <row r="36" spans="1:11" ht="54.75" customHeight="1" x14ac:dyDescent="0.25">
      <c r="A36" s="291" t="s">
        <v>140</v>
      </c>
      <c r="B36" s="138"/>
      <c r="C36" s="11">
        <v>12</v>
      </c>
      <c r="D36" s="81" t="s">
        <v>113</v>
      </c>
      <c r="E36" s="82" t="s">
        <v>17</v>
      </c>
      <c r="F36" s="82" t="s">
        <v>17</v>
      </c>
      <c r="G36" s="82" t="s">
        <v>17</v>
      </c>
      <c r="H36" s="82" t="s">
        <v>17</v>
      </c>
      <c r="I36" s="82" t="s">
        <v>17</v>
      </c>
      <c r="J36" s="82" t="s">
        <v>17</v>
      </c>
      <c r="K36" s="80" t="s">
        <v>69</v>
      </c>
    </row>
    <row r="37" spans="1:11" ht="54.75" customHeight="1" x14ac:dyDescent="0.25">
      <c r="A37" s="291"/>
      <c r="B37" s="138"/>
      <c r="C37" s="11">
        <v>13</v>
      </c>
      <c r="D37" s="81" t="s">
        <v>133</v>
      </c>
      <c r="E37" s="82" t="s">
        <v>17</v>
      </c>
      <c r="F37" s="82" t="s">
        <v>17</v>
      </c>
      <c r="G37" s="82" t="s">
        <v>17</v>
      </c>
      <c r="H37" s="82" t="s">
        <v>17</v>
      </c>
      <c r="I37" s="82" t="s">
        <v>17</v>
      </c>
      <c r="J37" s="82" t="s">
        <v>17</v>
      </c>
      <c r="K37" s="80" t="s">
        <v>69</v>
      </c>
    </row>
    <row r="38" spans="1:11" ht="54.75" customHeight="1" x14ac:dyDescent="0.25">
      <c r="A38" s="291"/>
      <c r="B38" s="138"/>
      <c r="C38" s="11">
        <v>14</v>
      </c>
      <c r="D38" s="81" t="s">
        <v>128</v>
      </c>
      <c r="E38" s="83" t="s">
        <v>72</v>
      </c>
      <c r="F38" s="83" t="s">
        <v>72</v>
      </c>
      <c r="G38" s="83" t="s">
        <v>72</v>
      </c>
      <c r="H38" s="83" t="s">
        <v>72</v>
      </c>
      <c r="I38" s="83" t="s">
        <v>72</v>
      </c>
      <c r="J38" s="83" t="s">
        <v>74</v>
      </c>
      <c r="K38" s="80" t="s">
        <v>69</v>
      </c>
    </row>
    <row r="39" spans="1:11" ht="54.75" customHeight="1" x14ac:dyDescent="0.25">
      <c r="A39" s="291"/>
      <c r="B39" s="138"/>
      <c r="C39" s="11">
        <v>15</v>
      </c>
      <c r="D39" s="81" t="s">
        <v>129</v>
      </c>
      <c r="E39" s="83" t="s">
        <v>72</v>
      </c>
      <c r="F39" s="83" t="s">
        <v>72</v>
      </c>
      <c r="G39" s="83" t="s">
        <v>72</v>
      </c>
      <c r="H39" s="83" t="s">
        <v>72</v>
      </c>
      <c r="I39" s="83" t="s">
        <v>72</v>
      </c>
      <c r="J39" s="83" t="s">
        <v>74</v>
      </c>
      <c r="K39" s="80" t="s">
        <v>69</v>
      </c>
    </row>
    <row r="40" spans="1:11" ht="54.75" customHeight="1" x14ac:dyDescent="0.25">
      <c r="C40" s="134"/>
      <c r="D40" s="84" t="s">
        <v>104</v>
      </c>
      <c r="E40" s="85">
        <v>7</v>
      </c>
      <c r="F40" s="85">
        <v>7</v>
      </c>
      <c r="G40" s="85">
        <v>7</v>
      </c>
      <c r="H40" s="85">
        <v>7</v>
      </c>
      <c r="I40" s="85">
        <v>7</v>
      </c>
      <c r="J40" s="85">
        <v>8</v>
      </c>
      <c r="K40" s="85">
        <v>6</v>
      </c>
    </row>
    <row r="41" spans="1:11" ht="54.75" customHeight="1" x14ac:dyDescent="0.25">
      <c r="C41" s="134"/>
      <c r="D41" s="86" t="s">
        <v>105</v>
      </c>
      <c r="E41" s="87">
        <v>7</v>
      </c>
      <c r="F41" s="87">
        <v>7</v>
      </c>
      <c r="G41" s="87">
        <v>7</v>
      </c>
      <c r="H41" s="87">
        <v>6</v>
      </c>
      <c r="I41" s="87">
        <v>7</v>
      </c>
      <c r="J41" s="87">
        <v>7</v>
      </c>
      <c r="K41" s="87">
        <v>6</v>
      </c>
    </row>
    <row r="42" spans="1:11" ht="54.75" customHeight="1" x14ac:dyDescent="0.25">
      <c r="C42" s="134"/>
      <c r="D42" s="84" t="s">
        <v>106</v>
      </c>
      <c r="E42" s="85">
        <v>1</v>
      </c>
      <c r="F42" s="85">
        <v>1</v>
      </c>
      <c r="G42" s="85">
        <v>1</v>
      </c>
      <c r="H42" s="85">
        <v>2</v>
      </c>
      <c r="I42" s="85">
        <v>1</v>
      </c>
      <c r="J42" s="85">
        <v>0</v>
      </c>
      <c r="K42" s="85">
        <v>9</v>
      </c>
    </row>
    <row r="43" spans="1:11" s="10" customFormat="1" ht="54.75" customHeight="1" x14ac:dyDescent="0.25">
      <c r="C43" s="135"/>
      <c r="D43" s="113"/>
      <c r="E43" s="113"/>
      <c r="F43" s="113"/>
      <c r="G43" s="113"/>
      <c r="H43" s="113"/>
      <c r="I43" s="113"/>
      <c r="J43" s="113"/>
      <c r="K43" s="113"/>
    </row>
    <row r="44" spans="1:11" ht="54.75" customHeight="1" x14ac:dyDescent="0.25">
      <c r="C44" s="297" t="s">
        <v>112</v>
      </c>
      <c r="D44" s="88" t="s">
        <v>32</v>
      </c>
      <c r="E44" s="78" t="s">
        <v>17</v>
      </c>
      <c r="F44" s="78" t="s">
        <v>17</v>
      </c>
      <c r="G44" s="78" t="s">
        <v>17</v>
      </c>
      <c r="H44" s="78" t="s">
        <v>17</v>
      </c>
      <c r="I44" s="78" t="s">
        <v>17</v>
      </c>
      <c r="J44" s="78" t="s">
        <v>17</v>
      </c>
      <c r="K44" s="80" t="s">
        <v>69</v>
      </c>
    </row>
    <row r="45" spans="1:11" ht="54.75" customHeight="1" thickBot="1" x14ac:dyDescent="0.3">
      <c r="C45" s="298"/>
      <c r="D45" s="89" t="s">
        <v>24</v>
      </c>
      <c r="E45" s="90" t="s">
        <v>72</v>
      </c>
      <c r="F45" s="78" t="s">
        <v>17</v>
      </c>
      <c r="G45" s="90" t="s">
        <v>72</v>
      </c>
      <c r="H45" s="78" t="s">
        <v>17</v>
      </c>
      <c r="I45" s="90" t="s">
        <v>72</v>
      </c>
      <c r="J45" s="91" t="s">
        <v>74</v>
      </c>
      <c r="K45" s="92" t="s">
        <v>69</v>
      </c>
    </row>
    <row r="46" spans="1:11" ht="54.75" customHeight="1" thickBot="1" x14ac:dyDescent="0.3">
      <c r="C46" s="298"/>
      <c r="D46" s="93" t="s">
        <v>79</v>
      </c>
      <c r="E46" s="94" t="s">
        <v>72</v>
      </c>
      <c r="F46" s="94" t="s">
        <v>72</v>
      </c>
      <c r="G46" s="94" t="s">
        <v>72</v>
      </c>
      <c r="H46" s="94" t="s">
        <v>72</v>
      </c>
      <c r="I46" s="95" t="s">
        <v>69</v>
      </c>
      <c r="J46" s="94" t="s">
        <v>74</v>
      </c>
      <c r="K46" s="96" t="s">
        <v>76</v>
      </c>
    </row>
    <row r="47" spans="1:11" ht="54.75" customHeight="1" x14ac:dyDescent="0.25">
      <c r="C47" s="298"/>
      <c r="D47" s="97" t="s">
        <v>104</v>
      </c>
      <c r="E47" s="98">
        <v>1</v>
      </c>
      <c r="F47" s="98">
        <v>2</v>
      </c>
      <c r="G47" s="98">
        <v>1</v>
      </c>
      <c r="H47" s="98">
        <v>2</v>
      </c>
      <c r="I47" s="98">
        <v>1</v>
      </c>
      <c r="J47" s="98">
        <v>1</v>
      </c>
      <c r="K47" s="99">
        <v>1</v>
      </c>
    </row>
    <row r="48" spans="1:11" ht="54.75" customHeight="1" x14ac:dyDescent="0.25">
      <c r="C48" s="298"/>
      <c r="D48" s="86" t="s">
        <v>105</v>
      </c>
      <c r="E48" s="87">
        <v>2</v>
      </c>
      <c r="F48" s="87">
        <v>1</v>
      </c>
      <c r="G48" s="87">
        <v>2</v>
      </c>
      <c r="H48" s="87">
        <v>1</v>
      </c>
      <c r="I48" s="87">
        <v>1</v>
      </c>
      <c r="J48" s="87">
        <v>2</v>
      </c>
      <c r="K48" s="100">
        <v>1</v>
      </c>
    </row>
    <row r="49" spans="3:11" ht="54.75" customHeight="1" x14ac:dyDescent="0.25">
      <c r="C49" s="298"/>
      <c r="D49" s="86" t="s">
        <v>106</v>
      </c>
      <c r="E49" s="87">
        <v>0</v>
      </c>
      <c r="F49" s="87">
        <v>0</v>
      </c>
      <c r="G49" s="87">
        <v>0</v>
      </c>
      <c r="H49" s="87">
        <v>0</v>
      </c>
      <c r="I49" s="87">
        <v>1</v>
      </c>
      <c r="J49" s="87">
        <v>0</v>
      </c>
      <c r="K49" s="100">
        <v>0</v>
      </c>
    </row>
    <row r="50" spans="3:11" ht="21" x14ac:dyDescent="0.35">
      <c r="C50" s="267" t="s">
        <v>142</v>
      </c>
      <c r="D50" s="267"/>
      <c r="E50" s="267"/>
      <c r="F50" s="267"/>
      <c r="G50" s="267"/>
      <c r="H50" s="267"/>
      <c r="I50" s="267"/>
      <c r="J50" s="267"/>
    </row>
    <row r="52" spans="3:11" ht="23.25" x14ac:dyDescent="0.25">
      <c r="D52" s="88" t="s">
        <v>135</v>
      </c>
    </row>
    <row r="53" spans="3:11" ht="23.25" x14ac:dyDescent="0.25">
      <c r="D53" s="101" t="s">
        <v>136</v>
      </c>
    </row>
    <row r="54" spans="3:11" ht="23.25" x14ac:dyDescent="0.25">
      <c r="D54" s="80" t="s">
        <v>137</v>
      </c>
    </row>
    <row r="55" spans="3:11" ht="23.25" x14ac:dyDescent="0.25">
      <c r="D55" s="78" t="s">
        <v>138</v>
      </c>
    </row>
    <row r="56" spans="3:11" ht="23.25" x14ac:dyDescent="0.25">
      <c r="D56" s="75" t="s">
        <v>139</v>
      </c>
    </row>
    <row r="63" spans="3:11" ht="21" x14ac:dyDescent="0.35">
      <c r="C63" s="296"/>
      <c r="D63" s="296"/>
      <c r="E63" s="296"/>
      <c r="F63" s="296"/>
      <c r="G63" s="296"/>
      <c r="H63" s="296"/>
      <c r="I63" s="296"/>
      <c r="J63" s="296"/>
    </row>
    <row r="64" spans="3:11" ht="3.75" customHeight="1" x14ac:dyDescent="0.25"/>
    <row r="65" spans="3:11" hidden="1" x14ac:dyDescent="0.25"/>
    <row r="66" spans="3:11" ht="21" hidden="1" x14ac:dyDescent="0.35">
      <c r="D66" s="296"/>
      <c r="E66" s="296"/>
      <c r="F66" s="296"/>
      <c r="G66" s="296"/>
      <c r="H66" s="296"/>
      <c r="I66" s="296"/>
      <c r="J66" s="296"/>
      <c r="K66" s="296"/>
    </row>
    <row r="67" spans="3:11" ht="111" customHeight="1" thickBot="1" x14ac:dyDescent="0.3">
      <c r="C67" s="14"/>
      <c r="D67" s="154"/>
      <c r="E67" s="154"/>
      <c r="F67" s="154"/>
      <c r="G67" s="154"/>
      <c r="H67" s="154"/>
      <c r="I67" s="154"/>
      <c r="J67" s="154"/>
      <c r="K67" s="154"/>
    </row>
    <row r="68" spans="3:11" ht="23.25" x14ac:dyDescent="0.25">
      <c r="C68" s="299"/>
      <c r="D68" s="141"/>
      <c r="E68" s="142"/>
      <c r="F68" s="142"/>
      <c r="G68" s="142"/>
      <c r="H68" s="142"/>
      <c r="I68" s="142"/>
      <c r="J68" s="142"/>
      <c r="K68" s="143"/>
    </row>
    <row r="69" spans="3:11" ht="24" thickBot="1" x14ac:dyDescent="0.3">
      <c r="C69" s="300"/>
      <c r="D69" s="144"/>
      <c r="E69" s="94"/>
      <c r="F69" s="94"/>
      <c r="G69" s="94"/>
      <c r="H69" s="94"/>
      <c r="I69" s="94"/>
      <c r="J69" s="94"/>
      <c r="K69" s="145"/>
    </row>
    <row r="70" spans="3:11" ht="23.25" x14ac:dyDescent="0.25">
      <c r="C70" s="299"/>
      <c r="D70" s="141"/>
      <c r="E70" s="147"/>
      <c r="F70" s="147"/>
      <c r="G70" s="147"/>
      <c r="H70" s="147"/>
      <c r="I70" s="147"/>
      <c r="J70" s="147"/>
      <c r="K70" s="143"/>
    </row>
    <row r="71" spans="3:11" ht="24" thickBot="1" x14ac:dyDescent="0.3">
      <c r="C71" s="300"/>
      <c r="D71" s="148"/>
      <c r="E71" s="149"/>
      <c r="F71" s="149"/>
      <c r="G71" s="149"/>
      <c r="H71" s="149"/>
      <c r="I71" s="149"/>
      <c r="J71" s="149"/>
      <c r="K71" s="145"/>
    </row>
    <row r="72" spans="3:11" ht="23.25" x14ac:dyDescent="0.25">
      <c r="C72" s="299"/>
      <c r="D72" s="141"/>
      <c r="E72" s="142"/>
      <c r="F72" s="142"/>
      <c r="G72" s="142"/>
      <c r="H72" s="142"/>
      <c r="I72" s="142"/>
      <c r="J72" s="142"/>
      <c r="K72" s="143"/>
    </row>
    <row r="73" spans="3:11" ht="24" thickBot="1" x14ac:dyDescent="0.3">
      <c r="C73" s="300"/>
      <c r="D73" s="148"/>
      <c r="E73" s="91"/>
      <c r="F73" s="91"/>
      <c r="G73" s="91"/>
      <c r="H73" s="91"/>
      <c r="I73" s="91"/>
      <c r="J73" s="91"/>
      <c r="K73" s="145"/>
    </row>
    <row r="74" spans="3:11" ht="24" thickBot="1" x14ac:dyDescent="0.3">
      <c r="C74" s="299"/>
      <c r="D74" s="141"/>
      <c r="E74" s="91"/>
      <c r="F74" s="91"/>
      <c r="G74" s="91"/>
      <c r="H74" s="91"/>
      <c r="I74" s="91"/>
      <c r="J74" s="91"/>
      <c r="K74" s="143"/>
    </row>
    <row r="75" spans="3:11" ht="24" thickBot="1" x14ac:dyDescent="0.3">
      <c r="C75" s="300"/>
      <c r="D75" s="148"/>
      <c r="E75" s="142"/>
      <c r="F75" s="142"/>
      <c r="G75" s="142"/>
      <c r="H75" s="142"/>
      <c r="I75" s="142"/>
      <c r="J75" s="142"/>
      <c r="K75" s="145"/>
    </row>
    <row r="76" spans="3:11" ht="24" thickBot="1" x14ac:dyDescent="0.3">
      <c r="C76" s="299"/>
      <c r="D76" s="141"/>
      <c r="E76" s="94"/>
      <c r="F76" s="94"/>
      <c r="G76" s="94"/>
      <c r="H76" s="94"/>
      <c r="I76" s="94"/>
      <c r="J76" s="94"/>
      <c r="K76" s="143"/>
    </row>
    <row r="77" spans="3:11" ht="24" thickBot="1" x14ac:dyDescent="0.3">
      <c r="C77" s="300"/>
      <c r="D77" s="148"/>
      <c r="E77" s="142"/>
      <c r="F77" s="142"/>
      <c r="G77" s="142"/>
      <c r="H77" s="142"/>
      <c r="I77" s="142"/>
      <c r="J77" s="142"/>
      <c r="K77" s="145"/>
    </row>
    <row r="78" spans="3:11" ht="27" customHeight="1" thickBot="1" x14ac:dyDescent="0.3">
      <c r="C78" s="301"/>
      <c r="D78" s="141"/>
      <c r="E78" s="142"/>
      <c r="F78" s="142"/>
      <c r="G78" s="142"/>
      <c r="H78" s="142"/>
      <c r="I78" s="142"/>
      <c r="J78" s="142"/>
      <c r="K78" s="143"/>
    </row>
    <row r="79" spans="3:11" ht="24" thickBot="1" x14ac:dyDescent="0.3">
      <c r="C79" s="302"/>
      <c r="D79" s="133"/>
      <c r="E79" s="142"/>
      <c r="F79" s="147"/>
      <c r="G79" s="142"/>
      <c r="H79" s="147"/>
      <c r="I79" s="142"/>
      <c r="J79" s="94"/>
      <c r="K79" s="151"/>
    </row>
    <row r="80" spans="3:11" ht="24" thickBot="1" x14ac:dyDescent="0.3">
      <c r="C80" s="303"/>
      <c r="D80" s="144"/>
      <c r="E80" s="147"/>
      <c r="F80" s="147"/>
      <c r="G80" s="147"/>
      <c r="H80" s="147"/>
      <c r="I80" s="147"/>
      <c r="J80" s="147"/>
      <c r="K80" s="145"/>
    </row>
    <row r="81" spans="1:11" ht="29.25" customHeight="1" thickBot="1" x14ac:dyDescent="0.3">
      <c r="A81" s="290"/>
      <c r="B81" s="137"/>
      <c r="C81" s="292"/>
      <c r="D81" s="152"/>
      <c r="E81" s="149"/>
      <c r="F81" s="149"/>
      <c r="G81" s="149"/>
      <c r="H81" s="149"/>
      <c r="I81" s="149"/>
      <c r="J81" s="149"/>
      <c r="K81" s="143"/>
    </row>
    <row r="82" spans="1:11" ht="24" thickBot="1" x14ac:dyDescent="0.3">
      <c r="A82" s="290"/>
      <c r="B82" s="137"/>
      <c r="C82" s="293"/>
      <c r="D82" s="144"/>
      <c r="E82" s="147"/>
      <c r="F82" s="147"/>
      <c r="G82" s="147"/>
      <c r="H82" s="147"/>
      <c r="I82" s="147"/>
      <c r="J82" s="147"/>
      <c r="K82" s="145"/>
    </row>
    <row r="83" spans="1:11" ht="23.25" x14ac:dyDescent="0.25">
      <c r="C83" s="294"/>
      <c r="D83" s="152"/>
      <c r="E83" s="90"/>
      <c r="F83" s="90"/>
      <c r="G83" s="90"/>
      <c r="H83" s="90"/>
      <c r="I83" s="90"/>
      <c r="J83" s="90"/>
      <c r="K83" s="143"/>
    </row>
    <row r="84" spans="1:11" ht="24" thickBot="1" x14ac:dyDescent="0.3">
      <c r="C84" s="295"/>
      <c r="D84" s="144"/>
      <c r="E84" s="149"/>
      <c r="F84" s="149"/>
      <c r="G84" s="149"/>
      <c r="H84" s="149"/>
      <c r="I84" s="149"/>
      <c r="J84" s="149"/>
      <c r="K84" s="145"/>
    </row>
    <row r="85" spans="1:11" ht="24" thickBot="1" x14ac:dyDescent="0.3">
      <c r="C85" s="153"/>
      <c r="D85" s="150"/>
      <c r="E85" s="149"/>
      <c r="F85" s="149"/>
      <c r="G85" s="149"/>
      <c r="H85" s="149"/>
      <c r="I85" s="149"/>
      <c r="J85" s="149"/>
      <c r="K85" s="140"/>
    </row>
    <row r="86" spans="1:11" ht="23.25" x14ac:dyDescent="0.25">
      <c r="C86" s="102"/>
      <c r="D86" s="84"/>
      <c r="E86" s="85"/>
      <c r="F86" s="85"/>
      <c r="G86" s="85"/>
      <c r="H86" s="85"/>
      <c r="I86" s="85"/>
      <c r="J86" s="85"/>
      <c r="K86" s="85"/>
    </row>
    <row r="87" spans="1:11" ht="23.25" x14ac:dyDescent="0.25">
      <c r="C87" s="102"/>
      <c r="D87" s="86"/>
      <c r="E87" s="87"/>
      <c r="F87" s="87"/>
      <c r="G87" s="87"/>
      <c r="H87" s="87"/>
      <c r="I87" s="87"/>
      <c r="J87" s="87"/>
      <c r="K87" s="87"/>
    </row>
    <row r="88" spans="1:11" ht="23.25" x14ac:dyDescent="0.25">
      <c r="C88" s="102"/>
      <c r="D88" s="84"/>
      <c r="E88" s="85"/>
      <c r="F88" s="85"/>
      <c r="G88" s="85"/>
      <c r="H88" s="85"/>
      <c r="I88" s="85"/>
      <c r="J88" s="85"/>
      <c r="K88" s="85"/>
    </row>
    <row r="89" spans="1:11" ht="23.25" x14ac:dyDescent="0.25">
      <c r="A89" s="10"/>
      <c r="B89" s="10"/>
      <c r="C89" s="139"/>
      <c r="D89" s="113"/>
      <c r="E89" s="113"/>
      <c r="F89" s="113"/>
      <c r="G89" s="113"/>
      <c r="H89" s="113"/>
      <c r="I89" s="113"/>
      <c r="J89" s="113"/>
      <c r="K89" s="113"/>
    </row>
    <row r="90" spans="1:11" ht="23.25" customHeight="1" thickBot="1" x14ac:dyDescent="0.3">
      <c r="C90" s="266"/>
      <c r="D90" s="132"/>
      <c r="E90" s="75"/>
      <c r="F90" s="75"/>
      <c r="G90" s="75"/>
      <c r="H90" s="75"/>
      <c r="I90" s="80"/>
      <c r="J90" s="75"/>
      <c r="K90" s="96"/>
    </row>
    <row r="91" spans="1:11" ht="23.25" x14ac:dyDescent="0.25">
      <c r="C91" s="266"/>
      <c r="D91" s="130"/>
      <c r="E91" s="78"/>
      <c r="F91" s="75"/>
      <c r="G91" s="78"/>
      <c r="H91" s="75"/>
      <c r="I91" s="75"/>
      <c r="J91" s="75"/>
      <c r="K91" s="80"/>
    </row>
    <row r="92" spans="1:11" ht="23.25" x14ac:dyDescent="0.25">
      <c r="C92" s="266"/>
      <c r="D92" s="130"/>
      <c r="E92" s="78"/>
      <c r="F92" s="78"/>
      <c r="G92" s="78"/>
      <c r="H92" s="78"/>
      <c r="I92" s="78"/>
      <c r="J92" s="78"/>
      <c r="K92" s="80"/>
    </row>
    <row r="93" spans="1:11" ht="23.25" x14ac:dyDescent="0.25">
      <c r="C93" s="266"/>
      <c r="D93" s="97"/>
      <c r="E93" s="98"/>
      <c r="F93" s="98"/>
      <c r="G93" s="98"/>
      <c r="H93" s="98"/>
      <c r="I93" s="98"/>
      <c r="J93" s="98"/>
      <c r="K93" s="99"/>
    </row>
    <row r="94" spans="1:11" ht="23.25" x14ac:dyDescent="0.25">
      <c r="C94" s="266"/>
      <c r="D94" s="86"/>
      <c r="E94" s="87"/>
      <c r="F94" s="87"/>
      <c r="G94" s="87"/>
      <c r="H94" s="87"/>
      <c r="I94" s="87"/>
      <c r="J94" s="87"/>
      <c r="K94" s="100"/>
    </row>
    <row r="95" spans="1:11" ht="23.25" x14ac:dyDescent="0.25">
      <c r="C95" s="266"/>
      <c r="D95" s="86"/>
      <c r="E95" s="87"/>
      <c r="F95" s="87"/>
      <c r="G95" s="87"/>
      <c r="H95" s="87"/>
      <c r="I95" s="87"/>
      <c r="J95" s="87"/>
      <c r="K95" s="100"/>
    </row>
    <row r="96" spans="1:11" ht="21" x14ac:dyDescent="0.35">
      <c r="C96" s="267"/>
      <c r="D96" s="267"/>
      <c r="E96" s="267"/>
      <c r="F96" s="267"/>
      <c r="G96" s="267"/>
      <c r="H96" s="267"/>
      <c r="I96" s="267"/>
      <c r="J96" s="267"/>
    </row>
    <row r="100" spans="2:12" ht="84" customHeight="1" x14ac:dyDescent="0.5">
      <c r="B100"/>
      <c r="D100" s="288" t="s">
        <v>181</v>
      </c>
      <c r="E100" s="288"/>
      <c r="F100" s="288"/>
      <c r="G100" s="288"/>
      <c r="H100" s="288"/>
      <c r="I100" s="288"/>
      <c r="J100" s="288"/>
      <c r="K100" s="288"/>
      <c r="L100" s="288"/>
    </row>
    <row r="101" spans="2:12" ht="124.5" customHeight="1" thickBot="1" x14ac:dyDescent="0.3">
      <c r="B101"/>
      <c r="C101" s="14" t="s">
        <v>169</v>
      </c>
      <c r="D101" s="161" t="s">
        <v>38</v>
      </c>
      <c r="E101" s="161" t="s">
        <v>173</v>
      </c>
      <c r="F101" s="161" t="s">
        <v>149</v>
      </c>
      <c r="G101" s="161" t="s">
        <v>150</v>
      </c>
      <c r="H101" s="161" t="s">
        <v>151</v>
      </c>
      <c r="I101" s="161" t="s">
        <v>152</v>
      </c>
      <c r="J101" s="161" t="s">
        <v>153</v>
      </c>
      <c r="K101" s="161" t="s">
        <v>154</v>
      </c>
      <c r="L101" s="154" t="s">
        <v>155</v>
      </c>
    </row>
    <row r="102" spans="2:12" ht="43.5" customHeight="1" x14ac:dyDescent="0.25">
      <c r="B102" s="12">
        <v>1</v>
      </c>
      <c r="C102" s="279">
        <v>1</v>
      </c>
      <c r="D102" s="218" t="s">
        <v>124</v>
      </c>
      <c r="E102" s="164" t="s">
        <v>174</v>
      </c>
      <c r="F102" s="226" t="s">
        <v>172</v>
      </c>
      <c r="G102" s="226" t="s">
        <v>17</v>
      </c>
      <c r="H102" s="226" t="s">
        <v>17</v>
      </c>
      <c r="I102" s="226" t="s">
        <v>17</v>
      </c>
      <c r="J102" s="226" t="s">
        <v>17</v>
      </c>
      <c r="K102" s="165" t="s">
        <v>17</v>
      </c>
      <c r="L102" s="217" t="s">
        <v>69</v>
      </c>
    </row>
    <row r="103" spans="2:12" ht="43.5" customHeight="1" thickBot="1" x14ac:dyDescent="0.3">
      <c r="B103" s="12">
        <v>2</v>
      </c>
      <c r="C103" s="280"/>
      <c r="D103" s="166" t="s">
        <v>128</v>
      </c>
      <c r="E103" s="167" t="s">
        <v>175</v>
      </c>
      <c r="F103" s="168" t="s">
        <v>69</v>
      </c>
      <c r="G103" s="223" t="s">
        <v>72</v>
      </c>
      <c r="H103" s="223" t="s">
        <v>72</v>
      </c>
      <c r="I103" s="223" t="s">
        <v>72</v>
      </c>
      <c r="J103" s="223" t="s">
        <v>72</v>
      </c>
      <c r="K103" s="169" t="s">
        <v>74</v>
      </c>
      <c r="L103" s="163" t="s">
        <v>76</v>
      </c>
    </row>
    <row r="104" spans="2:12" ht="43.5" customHeight="1" x14ac:dyDescent="0.25">
      <c r="B104" s="12">
        <v>3</v>
      </c>
      <c r="C104" s="279">
        <v>2</v>
      </c>
      <c r="D104" s="218" t="s">
        <v>123</v>
      </c>
      <c r="E104" s="164" t="s">
        <v>175</v>
      </c>
      <c r="F104" s="224" t="s">
        <v>72</v>
      </c>
      <c r="G104" s="224" t="s">
        <v>72</v>
      </c>
      <c r="H104" s="224" t="s">
        <v>72</v>
      </c>
      <c r="I104" s="224" t="s">
        <v>72</v>
      </c>
      <c r="J104" s="224" t="s">
        <v>72</v>
      </c>
      <c r="K104" s="158" t="s">
        <v>72</v>
      </c>
      <c r="L104" s="143" t="s">
        <v>69</v>
      </c>
    </row>
    <row r="105" spans="2:12" ht="43.5" customHeight="1" thickBot="1" x14ac:dyDescent="0.3">
      <c r="B105" s="12">
        <v>4</v>
      </c>
      <c r="C105" s="280"/>
      <c r="D105" s="170" t="s">
        <v>165</v>
      </c>
      <c r="E105" s="167" t="s">
        <v>174</v>
      </c>
      <c r="F105" s="149" t="s">
        <v>17</v>
      </c>
      <c r="G105" s="168" t="s">
        <v>69</v>
      </c>
      <c r="H105" s="149" t="s">
        <v>17</v>
      </c>
      <c r="I105" s="149" t="s">
        <v>17</v>
      </c>
      <c r="J105" s="149" t="s">
        <v>17</v>
      </c>
      <c r="K105" s="159" t="s">
        <v>17</v>
      </c>
      <c r="L105" s="96" t="s">
        <v>76</v>
      </c>
    </row>
    <row r="106" spans="2:12" ht="43.5" customHeight="1" thickBot="1" x14ac:dyDescent="0.3">
      <c r="B106" s="12">
        <v>5</v>
      </c>
      <c r="C106" s="279">
        <v>3</v>
      </c>
      <c r="D106" s="171" t="s">
        <v>122</v>
      </c>
      <c r="E106" s="164" t="s">
        <v>174</v>
      </c>
      <c r="F106" s="226" t="s">
        <v>17</v>
      </c>
      <c r="G106" s="226" t="s">
        <v>17</v>
      </c>
      <c r="H106" s="172" t="s">
        <v>69</v>
      </c>
      <c r="I106" s="226" t="s">
        <v>17</v>
      </c>
      <c r="J106" s="226" t="s">
        <v>17</v>
      </c>
      <c r="K106" s="156" t="s">
        <v>17</v>
      </c>
      <c r="L106" s="173" t="s">
        <v>76</v>
      </c>
    </row>
    <row r="107" spans="2:12" ht="43.5" customHeight="1" thickBot="1" x14ac:dyDescent="0.3">
      <c r="B107" s="12">
        <v>6</v>
      </c>
      <c r="C107" s="280"/>
      <c r="D107" s="174" t="s">
        <v>166</v>
      </c>
      <c r="E107" s="175" t="s">
        <v>176</v>
      </c>
      <c r="F107" s="223" t="s">
        <v>72</v>
      </c>
      <c r="G107" s="223" t="s">
        <v>72</v>
      </c>
      <c r="H107" s="223" t="s">
        <v>72</v>
      </c>
      <c r="I107" s="223" t="s">
        <v>72</v>
      </c>
      <c r="J107" s="223" t="s">
        <v>72</v>
      </c>
      <c r="K107" s="160" t="s">
        <v>72</v>
      </c>
      <c r="L107" s="145" t="s">
        <v>69</v>
      </c>
    </row>
    <row r="108" spans="2:12" ht="43.5" customHeight="1" thickBot="1" x14ac:dyDescent="0.3">
      <c r="B108" s="12">
        <v>7</v>
      </c>
      <c r="C108" s="279">
        <v>4</v>
      </c>
      <c r="D108" s="218" t="s">
        <v>121</v>
      </c>
      <c r="E108" s="176" t="s">
        <v>176</v>
      </c>
      <c r="F108" s="224" t="s">
        <v>72</v>
      </c>
      <c r="G108" s="224" t="s">
        <v>72</v>
      </c>
      <c r="H108" s="224" t="s">
        <v>72</v>
      </c>
      <c r="I108" s="224" t="s">
        <v>72</v>
      </c>
      <c r="J108" s="224" t="s">
        <v>72</v>
      </c>
      <c r="K108" s="177" t="s">
        <v>72</v>
      </c>
      <c r="L108" s="143" t="s">
        <v>69</v>
      </c>
    </row>
    <row r="109" spans="2:12" ht="43.5" customHeight="1" thickBot="1" x14ac:dyDescent="0.3">
      <c r="B109" s="12">
        <v>8</v>
      </c>
      <c r="C109" s="280"/>
      <c r="D109" s="170" t="s">
        <v>164</v>
      </c>
      <c r="E109" s="167" t="s">
        <v>174</v>
      </c>
      <c r="F109" s="149" t="s">
        <v>17</v>
      </c>
      <c r="G109" s="149" t="s">
        <v>17</v>
      </c>
      <c r="H109" s="149" t="s">
        <v>17</v>
      </c>
      <c r="I109" s="168" t="s">
        <v>69</v>
      </c>
      <c r="J109" s="149" t="s">
        <v>17</v>
      </c>
      <c r="K109" s="178" t="s">
        <v>17</v>
      </c>
      <c r="L109" s="96" t="s">
        <v>76</v>
      </c>
    </row>
    <row r="110" spans="2:12" ht="43.5" customHeight="1" thickBot="1" x14ac:dyDescent="0.3">
      <c r="B110" s="12">
        <v>9</v>
      </c>
      <c r="C110" s="279">
        <v>5</v>
      </c>
      <c r="D110" s="218" t="s">
        <v>120</v>
      </c>
      <c r="E110" s="164" t="s">
        <v>175</v>
      </c>
      <c r="F110" s="224" t="s">
        <v>72</v>
      </c>
      <c r="G110" s="224" t="s">
        <v>72</v>
      </c>
      <c r="H110" s="179" t="s">
        <v>161</v>
      </c>
      <c r="I110" s="224" t="s">
        <v>72</v>
      </c>
      <c r="J110" s="224" t="s">
        <v>72</v>
      </c>
      <c r="K110" s="177" t="s">
        <v>74</v>
      </c>
      <c r="L110" s="143" t="s">
        <v>69</v>
      </c>
    </row>
    <row r="111" spans="2:12" ht="43.5" customHeight="1" thickBot="1" x14ac:dyDescent="0.3">
      <c r="B111" s="12">
        <v>10</v>
      </c>
      <c r="C111" s="280"/>
      <c r="D111" s="170" t="s">
        <v>133</v>
      </c>
      <c r="E111" s="175" t="s">
        <v>176</v>
      </c>
      <c r="F111" s="149" t="s">
        <v>17</v>
      </c>
      <c r="G111" s="149" t="s">
        <v>17</v>
      </c>
      <c r="H111" s="223" t="s">
        <v>72</v>
      </c>
      <c r="I111" s="149" t="s">
        <v>17</v>
      </c>
      <c r="J111" s="168" t="s">
        <v>69</v>
      </c>
      <c r="K111" s="178" t="s">
        <v>17</v>
      </c>
      <c r="L111" s="96" t="s">
        <v>76</v>
      </c>
    </row>
    <row r="112" spans="2:12" ht="43.5" customHeight="1" x14ac:dyDescent="0.25">
      <c r="B112" s="12">
        <v>11</v>
      </c>
      <c r="C112" s="281" t="s">
        <v>180</v>
      </c>
      <c r="D112" s="218" t="s">
        <v>119</v>
      </c>
      <c r="E112" s="164" t="s">
        <v>174</v>
      </c>
      <c r="F112" s="226" t="s">
        <v>17</v>
      </c>
      <c r="G112" s="226" t="s">
        <v>17</v>
      </c>
      <c r="H112" s="226" t="s">
        <v>17</v>
      </c>
      <c r="I112" s="226" t="s">
        <v>17</v>
      </c>
      <c r="J112" s="226" t="s">
        <v>17</v>
      </c>
      <c r="K112" s="156" t="s">
        <v>17</v>
      </c>
      <c r="L112" s="143" t="s">
        <v>69</v>
      </c>
    </row>
    <row r="113" spans="2:12" ht="43.5" customHeight="1" thickBot="1" x14ac:dyDescent="0.3">
      <c r="B113" s="12">
        <v>12</v>
      </c>
      <c r="C113" s="282"/>
      <c r="D113" s="162" t="s">
        <v>167</v>
      </c>
      <c r="E113" s="216" t="s">
        <v>177</v>
      </c>
      <c r="F113" s="195" t="s">
        <v>17</v>
      </c>
      <c r="G113" s="194" t="s">
        <v>72</v>
      </c>
      <c r="H113" s="195" t="s">
        <v>17</v>
      </c>
      <c r="I113" s="194" t="s">
        <v>72</v>
      </c>
      <c r="J113" s="195" t="s">
        <v>17</v>
      </c>
      <c r="K113" s="157" t="s">
        <v>74</v>
      </c>
      <c r="L113" s="151" t="s">
        <v>69</v>
      </c>
    </row>
    <row r="114" spans="2:12" ht="43.5" customHeight="1" thickBot="1" x14ac:dyDescent="0.3">
      <c r="B114" s="12">
        <v>13</v>
      </c>
      <c r="C114" s="283"/>
      <c r="D114" s="166" t="s">
        <v>118</v>
      </c>
      <c r="E114" s="175" t="s">
        <v>177</v>
      </c>
      <c r="F114" s="223" t="s">
        <v>72</v>
      </c>
      <c r="G114" s="168" t="s">
        <v>69</v>
      </c>
      <c r="H114" s="223" t="s">
        <v>72</v>
      </c>
      <c r="I114" s="223" t="s">
        <v>72</v>
      </c>
      <c r="J114" s="223" t="s">
        <v>72</v>
      </c>
      <c r="K114" s="177" t="s">
        <v>74</v>
      </c>
      <c r="L114" s="96" t="s">
        <v>76</v>
      </c>
    </row>
    <row r="115" spans="2:12" ht="43.5" customHeight="1" thickBot="1" x14ac:dyDescent="0.3">
      <c r="B115" s="12">
        <v>14</v>
      </c>
      <c r="C115" s="284" t="s">
        <v>168</v>
      </c>
      <c r="D115" s="182" t="s">
        <v>117</v>
      </c>
      <c r="E115" s="164" t="s">
        <v>174</v>
      </c>
      <c r="F115" s="226" t="s">
        <v>17</v>
      </c>
      <c r="G115" s="226" t="s">
        <v>17</v>
      </c>
      <c r="H115" s="226" t="s">
        <v>17</v>
      </c>
      <c r="I115" s="226" t="s">
        <v>17</v>
      </c>
      <c r="J115" s="226" t="s">
        <v>17</v>
      </c>
      <c r="K115" s="178" t="s">
        <v>17</v>
      </c>
      <c r="L115" s="143" t="s">
        <v>69</v>
      </c>
    </row>
    <row r="116" spans="2:12" ht="43.5" customHeight="1" thickBot="1" x14ac:dyDescent="0.3">
      <c r="B116" s="12">
        <v>15</v>
      </c>
      <c r="C116" s="285"/>
      <c r="D116" s="166" t="s">
        <v>116</v>
      </c>
      <c r="E116" s="175" t="s">
        <v>176</v>
      </c>
      <c r="F116" s="223" t="s">
        <v>72</v>
      </c>
      <c r="G116" s="223" t="s">
        <v>72</v>
      </c>
      <c r="H116" s="223" t="s">
        <v>72</v>
      </c>
      <c r="I116" s="168" t="s">
        <v>69</v>
      </c>
      <c r="J116" s="223" t="s">
        <v>72</v>
      </c>
      <c r="K116" s="177" t="s">
        <v>74</v>
      </c>
      <c r="L116" s="96" t="s">
        <v>76</v>
      </c>
    </row>
    <row r="117" spans="2:12" ht="43.5" customHeight="1" x14ac:dyDescent="0.25">
      <c r="B117" s="12">
        <v>16</v>
      </c>
      <c r="C117" s="286" t="s">
        <v>170</v>
      </c>
      <c r="D117" s="182" t="s">
        <v>115</v>
      </c>
      <c r="E117" s="176" t="s">
        <v>176</v>
      </c>
      <c r="F117" s="224" t="s">
        <v>72</v>
      </c>
      <c r="G117" s="224" t="s">
        <v>72</v>
      </c>
      <c r="H117" s="224" t="s">
        <v>72</v>
      </c>
      <c r="I117" s="224" t="s">
        <v>72</v>
      </c>
      <c r="J117" s="224" t="s">
        <v>72</v>
      </c>
      <c r="K117" s="158" t="s">
        <v>74</v>
      </c>
      <c r="L117" s="143" t="s">
        <v>69</v>
      </c>
    </row>
    <row r="118" spans="2:12" ht="43.5" customHeight="1" thickBot="1" x14ac:dyDescent="0.3">
      <c r="B118" s="12">
        <v>17</v>
      </c>
      <c r="C118" s="287"/>
      <c r="D118" s="166" t="s">
        <v>113</v>
      </c>
      <c r="E118" s="167" t="s">
        <v>174</v>
      </c>
      <c r="F118" s="168" t="s">
        <v>69</v>
      </c>
      <c r="G118" s="149" t="s">
        <v>17</v>
      </c>
      <c r="H118" s="149" t="s">
        <v>17</v>
      </c>
      <c r="I118" s="149" t="s">
        <v>17</v>
      </c>
      <c r="J118" s="149" t="s">
        <v>17</v>
      </c>
      <c r="K118" s="159" t="s">
        <v>17</v>
      </c>
      <c r="L118" s="96" t="s">
        <v>76</v>
      </c>
    </row>
    <row r="119" spans="2:12" ht="32.25" customHeight="1" thickBot="1" x14ac:dyDescent="0.3">
      <c r="B119" s="1">
        <v>18</v>
      </c>
      <c r="C119" s="123"/>
      <c r="D119" s="180" t="s">
        <v>114</v>
      </c>
      <c r="E119" s="131" t="s">
        <v>174</v>
      </c>
      <c r="F119" s="146" t="s">
        <v>17</v>
      </c>
      <c r="G119" s="146" t="s">
        <v>17</v>
      </c>
      <c r="H119" s="146" t="s">
        <v>17</v>
      </c>
      <c r="I119" s="146" t="s">
        <v>17</v>
      </c>
      <c r="J119" s="146" t="s">
        <v>17</v>
      </c>
      <c r="K119" s="181" t="s">
        <v>17</v>
      </c>
      <c r="L119" s="140" t="s">
        <v>69</v>
      </c>
    </row>
    <row r="120" spans="2:12" ht="23.25" x14ac:dyDescent="0.25">
      <c r="C120" s="1"/>
      <c r="D120" s="211" t="s">
        <v>179</v>
      </c>
      <c r="E120" s="212" t="s">
        <v>178</v>
      </c>
      <c r="F120" s="215"/>
      <c r="G120" s="215"/>
      <c r="H120" s="215"/>
      <c r="I120" s="215"/>
      <c r="J120" s="215"/>
      <c r="K120" s="213"/>
      <c r="L120" s="213"/>
    </row>
    <row r="121" spans="2:12" ht="23.25" x14ac:dyDescent="0.25">
      <c r="B121"/>
      <c r="C121" s="102"/>
      <c r="D121" s="197" t="s">
        <v>104</v>
      </c>
      <c r="E121" s="197"/>
      <c r="F121" s="198">
        <v>9</v>
      </c>
      <c r="G121" s="198">
        <v>8</v>
      </c>
      <c r="H121" s="198">
        <v>9</v>
      </c>
      <c r="I121" s="198">
        <v>8</v>
      </c>
      <c r="J121" s="198">
        <v>9</v>
      </c>
      <c r="K121" s="198">
        <v>9</v>
      </c>
      <c r="L121" s="198">
        <v>8</v>
      </c>
    </row>
    <row r="122" spans="2:12" ht="23.25" x14ac:dyDescent="0.25">
      <c r="B122"/>
      <c r="C122" s="102"/>
      <c r="D122" s="199" t="s">
        <v>105</v>
      </c>
      <c r="E122" s="199"/>
      <c r="F122" s="200">
        <v>7</v>
      </c>
      <c r="G122" s="200">
        <v>8</v>
      </c>
      <c r="H122" s="200">
        <v>8</v>
      </c>
      <c r="I122" s="200">
        <v>8</v>
      </c>
      <c r="J122" s="200">
        <v>8</v>
      </c>
      <c r="K122" s="200">
        <v>9</v>
      </c>
      <c r="L122" s="200"/>
    </row>
    <row r="123" spans="2:12" ht="23.25" x14ac:dyDescent="0.25">
      <c r="B123"/>
      <c r="C123" s="102"/>
      <c r="D123" s="197" t="s">
        <v>106</v>
      </c>
      <c r="E123" s="197"/>
      <c r="F123" s="198">
        <v>2</v>
      </c>
      <c r="G123" s="198">
        <v>2</v>
      </c>
      <c r="H123" s="198">
        <v>1</v>
      </c>
      <c r="I123" s="198">
        <v>2</v>
      </c>
      <c r="J123" s="198">
        <v>1</v>
      </c>
      <c r="K123" s="198">
        <v>0</v>
      </c>
      <c r="L123" s="198">
        <v>10</v>
      </c>
    </row>
    <row r="124" spans="2:12" ht="23.25" x14ac:dyDescent="0.25">
      <c r="B124"/>
      <c r="C124" s="139"/>
      <c r="D124" s="207"/>
      <c r="E124" s="207"/>
      <c r="F124" s="207"/>
      <c r="G124" s="207"/>
      <c r="H124" s="207"/>
      <c r="I124" s="207"/>
      <c r="J124" s="207"/>
      <c r="K124" s="207"/>
      <c r="L124" s="207"/>
    </row>
    <row r="125" spans="2:12" ht="23.25" x14ac:dyDescent="0.25">
      <c r="B125"/>
      <c r="C125" s="266" t="s">
        <v>112</v>
      </c>
      <c r="D125" s="220" t="s">
        <v>32</v>
      </c>
      <c r="E125" s="201" t="s">
        <v>175</v>
      </c>
      <c r="F125" s="194" t="s">
        <v>72</v>
      </c>
      <c r="G125" s="194" t="s">
        <v>72</v>
      </c>
      <c r="H125" s="194" t="s">
        <v>72</v>
      </c>
      <c r="I125" s="194" t="s">
        <v>72</v>
      </c>
      <c r="J125" s="194" t="s">
        <v>72</v>
      </c>
      <c r="K125" s="194" t="s">
        <v>74</v>
      </c>
      <c r="L125" s="196" t="s">
        <v>69</v>
      </c>
    </row>
    <row r="126" spans="2:12" ht="24" thickBot="1" x14ac:dyDescent="0.3">
      <c r="B126"/>
      <c r="C126" s="266"/>
      <c r="D126" s="219" t="s">
        <v>171</v>
      </c>
      <c r="E126" s="216" t="s">
        <v>176</v>
      </c>
      <c r="F126" s="195" t="s">
        <v>17</v>
      </c>
      <c r="G126" s="194" t="s">
        <v>72</v>
      </c>
      <c r="H126" s="195" t="s">
        <v>17</v>
      </c>
      <c r="I126" s="194" t="s">
        <v>72</v>
      </c>
      <c r="J126" s="196" t="s">
        <v>69</v>
      </c>
      <c r="K126" s="194" t="s">
        <v>74</v>
      </c>
      <c r="L126" s="96" t="s">
        <v>76</v>
      </c>
    </row>
    <row r="127" spans="2:12" ht="23.25" x14ac:dyDescent="0.25">
      <c r="B127"/>
      <c r="C127" s="266"/>
      <c r="D127" s="220" t="s">
        <v>79</v>
      </c>
      <c r="E127" s="201" t="s">
        <v>174</v>
      </c>
      <c r="F127" s="195" t="s">
        <v>17</v>
      </c>
      <c r="G127" s="195" t="s">
        <v>17</v>
      </c>
      <c r="H127" s="195" t="s">
        <v>17</v>
      </c>
      <c r="I127" s="195" t="s">
        <v>17</v>
      </c>
      <c r="J127" s="195" t="s">
        <v>17</v>
      </c>
      <c r="K127" s="195" t="s">
        <v>17</v>
      </c>
      <c r="L127" s="196" t="s">
        <v>69</v>
      </c>
    </row>
    <row r="128" spans="2:12" ht="23.25" x14ac:dyDescent="0.25">
      <c r="B128"/>
      <c r="C128" s="266"/>
      <c r="D128" s="97" t="s">
        <v>104</v>
      </c>
      <c r="E128" s="97"/>
      <c r="F128" s="98">
        <v>2</v>
      </c>
      <c r="G128" s="98">
        <v>1</v>
      </c>
      <c r="H128" s="98">
        <v>2</v>
      </c>
      <c r="I128" s="98">
        <v>1</v>
      </c>
      <c r="J128" s="98">
        <v>1</v>
      </c>
      <c r="K128" s="98">
        <v>9</v>
      </c>
      <c r="L128" s="99">
        <v>1</v>
      </c>
    </row>
    <row r="129" spans="2:16" ht="23.25" x14ac:dyDescent="0.25">
      <c r="B129"/>
      <c r="C129" s="266"/>
      <c r="D129" s="86" t="s">
        <v>105</v>
      </c>
      <c r="E129" s="86"/>
      <c r="F129" s="87">
        <v>1</v>
      </c>
      <c r="G129" s="87">
        <v>2</v>
      </c>
      <c r="H129" s="87">
        <v>1</v>
      </c>
      <c r="I129" s="87">
        <v>2</v>
      </c>
      <c r="J129" s="87">
        <v>1</v>
      </c>
      <c r="K129" s="87">
        <v>2</v>
      </c>
      <c r="L129" s="100">
        <v>1</v>
      </c>
    </row>
    <row r="130" spans="2:16" ht="23.25" x14ac:dyDescent="0.25">
      <c r="B130"/>
      <c r="C130" s="266"/>
      <c r="D130" s="86" t="s">
        <v>106</v>
      </c>
      <c r="E130" s="86"/>
      <c r="F130" s="87">
        <v>0</v>
      </c>
      <c r="G130" s="87">
        <v>0</v>
      </c>
      <c r="H130" s="87">
        <v>0</v>
      </c>
      <c r="I130" s="87">
        <v>0</v>
      </c>
      <c r="J130" s="87">
        <v>1</v>
      </c>
      <c r="K130" s="87">
        <v>0</v>
      </c>
      <c r="L130" s="100">
        <v>2</v>
      </c>
    </row>
    <row r="131" spans="2:16" ht="21" x14ac:dyDescent="0.35">
      <c r="B131"/>
      <c r="C131" s="267" t="s">
        <v>142</v>
      </c>
      <c r="D131" s="267"/>
      <c r="E131" s="267"/>
      <c r="F131" s="267"/>
      <c r="G131" s="267"/>
      <c r="H131" s="267"/>
      <c r="I131" s="267"/>
      <c r="J131" s="267"/>
      <c r="K131" s="267"/>
      <c r="L131" s="267"/>
    </row>
    <row r="137" spans="2:16" x14ac:dyDescent="0.25"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</row>
    <row r="138" spans="2:16" x14ac:dyDescent="0.25"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</row>
    <row r="139" spans="2:16" ht="33.75" x14ac:dyDescent="0.5">
      <c r="B139" s="190"/>
      <c r="C139" s="190"/>
      <c r="D139" s="288" t="s">
        <v>186</v>
      </c>
      <c r="E139" s="288"/>
      <c r="F139" s="288"/>
      <c r="G139" s="288"/>
      <c r="H139" s="288"/>
      <c r="I139" s="288"/>
      <c r="J139" s="288"/>
      <c r="K139" s="288"/>
      <c r="L139" s="288"/>
      <c r="M139" s="190"/>
      <c r="N139" s="190"/>
      <c r="O139" s="190"/>
      <c r="P139" s="190"/>
    </row>
    <row r="140" spans="2:16" ht="179.25" customHeight="1" thickBot="1" x14ac:dyDescent="0.3">
      <c r="B140" s="190"/>
      <c r="C140" s="193" t="s">
        <v>169</v>
      </c>
      <c r="D140" s="214" t="s">
        <v>38</v>
      </c>
      <c r="E140" s="214" t="s">
        <v>173</v>
      </c>
      <c r="F140" s="214" t="s">
        <v>187</v>
      </c>
      <c r="G140" s="214" t="s">
        <v>188</v>
      </c>
      <c r="H140" s="214" t="s">
        <v>189</v>
      </c>
      <c r="I140" s="214" t="s">
        <v>190</v>
      </c>
      <c r="J140" s="214" t="s">
        <v>191</v>
      </c>
      <c r="K140" s="214" t="s">
        <v>192</v>
      </c>
      <c r="L140" s="210" t="s">
        <v>193</v>
      </c>
      <c r="M140" s="190"/>
      <c r="N140" s="190"/>
      <c r="O140" s="190"/>
      <c r="P140" s="190"/>
    </row>
    <row r="141" spans="2:16" ht="24" thickBot="1" x14ac:dyDescent="0.3">
      <c r="B141" s="192">
        <v>1</v>
      </c>
      <c r="C141" s="279">
        <v>1</v>
      </c>
      <c r="D141" s="241" t="s">
        <v>124</v>
      </c>
      <c r="E141" s="164" t="s">
        <v>175</v>
      </c>
      <c r="F141" s="224" t="s">
        <v>72</v>
      </c>
      <c r="G141" s="224" t="s">
        <v>72</v>
      </c>
      <c r="H141" s="304" t="s">
        <v>161</v>
      </c>
      <c r="I141" s="305"/>
      <c r="J141" s="305"/>
      <c r="K141" s="306"/>
      <c r="L141" s="217" t="s">
        <v>69</v>
      </c>
      <c r="M141" s="190"/>
      <c r="N141" s="190"/>
      <c r="O141" s="190"/>
      <c r="P141" s="190"/>
    </row>
    <row r="142" spans="2:16" ht="24" thickBot="1" x14ac:dyDescent="0.3">
      <c r="B142" s="192">
        <v>2</v>
      </c>
      <c r="C142" s="280"/>
      <c r="D142" s="166" t="s">
        <v>128</v>
      </c>
      <c r="E142" s="228" t="s">
        <v>174</v>
      </c>
      <c r="F142" s="226" t="s">
        <v>17</v>
      </c>
      <c r="G142" s="226" t="s">
        <v>17</v>
      </c>
      <c r="H142" s="226" t="s">
        <v>17</v>
      </c>
      <c r="I142" s="226" t="s">
        <v>17</v>
      </c>
      <c r="J142" s="226" t="s">
        <v>17</v>
      </c>
      <c r="K142" s="226" t="s">
        <v>17</v>
      </c>
      <c r="L142" s="240" t="s">
        <v>76</v>
      </c>
      <c r="M142" s="190"/>
      <c r="N142" s="190"/>
      <c r="O142" s="190"/>
      <c r="P142" s="224" t="s">
        <v>72</v>
      </c>
    </row>
    <row r="143" spans="2:16" ht="24" thickBot="1" x14ac:dyDescent="0.3">
      <c r="B143" s="192">
        <v>3</v>
      </c>
      <c r="C143" s="279">
        <v>2</v>
      </c>
      <c r="D143" s="171" t="s">
        <v>123</v>
      </c>
      <c r="E143" s="164" t="s">
        <v>174</v>
      </c>
      <c r="F143" s="217" t="s">
        <v>69</v>
      </c>
      <c r="G143" s="226" t="s">
        <v>17</v>
      </c>
      <c r="H143" s="226" t="s">
        <v>17</v>
      </c>
      <c r="I143" s="226" t="s">
        <v>17</v>
      </c>
      <c r="J143" s="226" t="s">
        <v>17</v>
      </c>
      <c r="K143" s="226" t="s">
        <v>17</v>
      </c>
      <c r="L143" s="240" t="s">
        <v>76</v>
      </c>
      <c r="M143" s="190"/>
      <c r="N143" s="190"/>
      <c r="O143" s="190"/>
      <c r="P143" s="226" t="s">
        <v>17</v>
      </c>
    </row>
    <row r="144" spans="2:16" ht="24" thickBot="1" x14ac:dyDescent="0.3">
      <c r="B144" s="192">
        <v>4</v>
      </c>
      <c r="C144" s="280"/>
      <c r="D144" s="221" t="s">
        <v>165</v>
      </c>
      <c r="E144" s="228" t="s">
        <v>176</v>
      </c>
      <c r="F144" s="223" t="s">
        <v>72</v>
      </c>
      <c r="G144" s="223" t="s">
        <v>72</v>
      </c>
      <c r="H144" s="223" t="s">
        <v>72</v>
      </c>
      <c r="I144" s="223" t="s">
        <v>72</v>
      </c>
      <c r="J144" s="223" t="s">
        <v>72</v>
      </c>
      <c r="K144" s="223" t="s">
        <v>74</v>
      </c>
      <c r="L144" s="217" t="s">
        <v>69</v>
      </c>
      <c r="M144" s="190"/>
      <c r="N144" s="190"/>
      <c r="O144" s="190"/>
      <c r="P144" s="217" t="s">
        <v>69</v>
      </c>
    </row>
    <row r="145" spans="2:16" ht="24" thickBot="1" x14ac:dyDescent="0.3">
      <c r="B145" s="192">
        <v>5</v>
      </c>
      <c r="C145" s="279">
        <v>3</v>
      </c>
      <c r="D145" s="218" t="s">
        <v>122</v>
      </c>
      <c r="E145" s="164" t="s">
        <v>176</v>
      </c>
      <c r="F145" s="307" t="s">
        <v>161</v>
      </c>
      <c r="G145" s="308"/>
      <c r="H145" s="309"/>
      <c r="I145" s="223" t="s">
        <v>72</v>
      </c>
      <c r="J145" s="223" t="s">
        <v>72</v>
      </c>
      <c r="K145" s="223" t="s">
        <v>74</v>
      </c>
      <c r="L145" s="217" t="s">
        <v>69</v>
      </c>
      <c r="M145" s="190"/>
      <c r="N145" s="190"/>
      <c r="O145" s="190"/>
      <c r="P145" s="190" t="s">
        <v>176</v>
      </c>
    </row>
    <row r="146" spans="2:16" ht="24" thickBot="1" x14ac:dyDescent="0.3">
      <c r="B146" s="192">
        <v>6</v>
      </c>
      <c r="C146" s="280"/>
      <c r="D146" s="166" t="s">
        <v>166</v>
      </c>
      <c r="E146" s="228" t="s">
        <v>174</v>
      </c>
      <c r="F146" s="226" t="s">
        <v>17</v>
      </c>
      <c r="G146" s="226" t="s">
        <v>17</v>
      </c>
      <c r="H146" s="226" t="s">
        <v>17</v>
      </c>
      <c r="I146" s="226" t="s">
        <v>17</v>
      </c>
      <c r="J146" s="217" t="s">
        <v>69</v>
      </c>
      <c r="K146" s="226" t="s">
        <v>17</v>
      </c>
      <c r="L146" s="240" t="s">
        <v>76</v>
      </c>
      <c r="M146" s="190"/>
      <c r="N146" s="190"/>
      <c r="O146" s="190"/>
      <c r="P146" s="190" t="s">
        <v>174</v>
      </c>
    </row>
    <row r="147" spans="2:16" ht="24" thickBot="1" x14ac:dyDescent="0.3">
      <c r="B147" s="192">
        <v>7</v>
      </c>
      <c r="C147" s="279">
        <v>4</v>
      </c>
      <c r="D147" s="171" t="s">
        <v>121</v>
      </c>
      <c r="E147" s="164" t="s">
        <v>174</v>
      </c>
      <c r="F147" s="226" t="s">
        <v>17</v>
      </c>
      <c r="G147" s="226" t="s">
        <v>17</v>
      </c>
      <c r="H147" s="226" t="s">
        <v>17</v>
      </c>
      <c r="I147" s="226" t="s">
        <v>17</v>
      </c>
      <c r="J147" s="226" t="s">
        <v>17</v>
      </c>
      <c r="K147" s="217" t="s">
        <v>69</v>
      </c>
      <c r="L147" s="240" t="s">
        <v>76</v>
      </c>
      <c r="M147" s="190"/>
      <c r="N147" s="190"/>
      <c r="O147" s="190"/>
      <c r="P147" s="190" t="s">
        <v>175</v>
      </c>
    </row>
    <row r="148" spans="2:16" ht="24" thickBot="1" x14ac:dyDescent="0.3">
      <c r="B148" s="192">
        <v>8</v>
      </c>
      <c r="C148" s="280"/>
      <c r="D148" s="221" t="s">
        <v>164</v>
      </c>
      <c r="E148" s="228" t="s">
        <v>176</v>
      </c>
      <c r="F148" s="223" t="s">
        <v>72</v>
      </c>
      <c r="G148" s="223" t="s">
        <v>72</v>
      </c>
      <c r="H148" s="223" t="s">
        <v>72</v>
      </c>
      <c r="I148" s="223" t="s">
        <v>72</v>
      </c>
      <c r="J148" s="223" t="s">
        <v>72</v>
      </c>
      <c r="K148" s="223" t="s">
        <v>74</v>
      </c>
      <c r="L148" s="217" t="s">
        <v>69</v>
      </c>
      <c r="M148" s="190"/>
      <c r="N148" s="190"/>
      <c r="O148" s="190"/>
      <c r="P148" s="190"/>
    </row>
    <row r="149" spans="2:16" ht="24" thickBot="1" x14ac:dyDescent="0.3">
      <c r="B149" s="192">
        <v>9</v>
      </c>
      <c r="C149" s="279">
        <v>5</v>
      </c>
      <c r="D149" s="171" t="s">
        <v>120</v>
      </c>
      <c r="E149" s="164" t="s">
        <v>176</v>
      </c>
      <c r="F149" s="226" t="s">
        <v>17</v>
      </c>
      <c r="G149" s="217" t="s">
        <v>69</v>
      </c>
      <c r="H149" s="226" t="s">
        <v>17</v>
      </c>
      <c r="I149" s="226" t="s">
        <v>17</v>
      </c>
      <c r="J149" s="226" t="s">
        <v>17</v>
      </c>
      <c r="K149" s="226" t="s">
        <v>17</v>
      </c>
      <c r="L149" s="240" t="s">
        <v>76</v>
      </c>
      <c r="M149" s="190"/>
      <c r="N149" s="190"/>
      <c r="O149" s="190"/>
      <c r="P149" s="190"/>
    </row>
    <row r="150" spans="2:16" ht="24" thickBot="1" x14ac:dyDescent="0.3">
      <c r="B150" s="192">
        <v>10</v>
      </c>
      <c r="C150" s="280"/>
      <c r="D150" s="221" t="s">
        <v>133</v>
      </c>
      <c r="E150" s="231" t="s">
        <v>175</v>
      </c>
      <c r="F150" s="232" t="s">
        <v>72</v>
      </c>
      <c r="G150" s="232" t="s">
        <v>72</v>
      </c>
      <c r="H150" s="232" t="s">
        <v>72</v>
      </c>
      <c r="I150" s="232" t="s">
        <v>72</v>
      </c>
      <c r="J150" s="232" t="s">
        <v>72</v>
      </c>
      <c r="K150" s="232" t="s">
        <v>74</v>
      </c>
      <c r="L150" s="217" t="s">
        <v>69</v>
      </c>
      <c r="M150" s="190"/>
      <c r="N150" s="190">
        <f>COUNTIF(E141:E158,"1:00pm")</f>
        <v>4</v>
      </c>
      <c r="O150" s="190">
        <v>1</v>
      </c>
      <c r="P150" s="190"/>
    </row>
    <row r="151" spans="2:16" ht="24" thickBot="1" x14ac:dyDescent="0.3">
      <c r="B151" s="192">
        <v>11</v>
      </c>
      <c r="C151" s="281" t="s">
        <v>180</v>
      </c>
      <c r="D151" s="241" t="s">
        <v>119</v>
      </c>
      <c r="E151" s="164" t="s">
        <v>175</v>
      </c>
      <c r="F151" s="224" t="s">
        <v>72</v>
      </c>
      <c r="G151" s="224" t="s">
        <v>72</v>
      </c>
      <c r="H151" s="224" t="s">
        <v>72</v>
      </c>
      <c r="I151" s="224" t="s">
        <v>72</v>
      </c>
      <c r="J151" s="224" t="s">
        <v>72</v>
      </c>
      <c r="K151" s="230" t="s">
        <v>74</v>
      </c>
      <c r="L151" s="217" t="s">
        <v>69</v>
      </c>
      <c r="M151" s="190"/>
      <c r="N151" s="190">
        <f>COUNTIF(E141:E158,"12:00md")</f>
        <v>7</v>
      </c>
      <c r="O151" s="190">
        <v>12</v>
      </c>
      <c r="P151" s="190"/>
    </row>
    <row r="152" spans="2:16" ht="24" thickBot="1" x14ac:dyDescent="0.3">
      <c r="B152" s="192">
        <v>12</v>
      </c>
      <c r="C152" s="282"/>
      <c r="D152" s="166" t="s">
        <v>167</v>
      </c>
      <c r="E152" s="237" t="s">
        <v>176</v>
      </c>
      <c r="F152" s="235" t="s">
        <v>17</v>
      </c>
      <c r="G152" s="194" t="s">
        <v>72</v>
      </c>
      <c r="H152" s="217" t="s">
        <v>69</v>
      </c>
      <c r="I152" s="194" t="s">
        <v>72</v>
      </c>
      <c r="J152" s="194" t="s">
        <v>72</v>
      </c>
      <c r="K152" s="233" t="s">
        <v>74</v>
      </c>
      <c r="L152" s="240" t="s">
        <v>76</v>
      </c>
      <c r="M152" s="190"/>
      <c r="N152" s="190">
        <f>COUNTIF(E141:E158,"11:00am")</f>
        <v>7</v>
      </c>
      <c r="O152" s="190">
        <v>11</v>
      </c>
      <c r="P152" s="190"/>
    </row>
    <row r="153" spans="2:16" ht="24" thickBot="1" x14ac:dyDescent="0.3">
      <c r="B153" s="192">
        <v>13</v>
      </c>
      <c r="C153" s="283"/>
      <c r="D153" s="218" t="s">
        <v>118</v>
      </c>
      <c r="E153" s="237" t="s">
        <v>174</v>
      </c>
      <c r="F153" s="235" t="s">
        <v>17</v>
      </c>
      <c r="G153" s="235" t="s">
        <v>17</v>
      </c>
      <c r="H153" s="235" t="s">
        <v>17</v>
      </c>
      <c r="I153" s="235" t="s">
        <v>17</v>
      </c>
      <c r="J153" s="235" t="s">
        <v>17</v>
      </c>
      <c r="K153" s="236" t="s">
        <v>17</v>
      </c>
      <c r="L153" s="217" t="s">
        <v>69</v>
      </c>
      <c r="M153" s="190"/>
      <c r="N153" s="190"/>
      <c r="O153" s="190"/>
      <c r="P153" s="225" t="s">
        <v>194</v>
      </c>
    </row>
    <row r="154" spans="2:16" ht="24" thickBot="1" x14ac:dyDescent="0.3">
      <c r="B154" s="192">
        <v>14</v>
      </c>
      <c r="C154" s="284" t="s">
        <v>168</v>
      </c>
      <c r="D154" s="166" t="s">
        <v>117</v>
      </c>
      <c r="E154" s="237" t="s">
        <v>176</v>
      </c>
      <c r="F154" s="224" t="s">
        <v>72</v>
      </c>
      <c r="G154" s="224" t="s">
        <v>72</v>
      </c>
      <c r="H154" s="224" t="s">
        <v>72</v>
      </c>
      <c r="I154" s="217" t="s">
        <v>69</v>
      </c>
      <c r="J154" s="224" t="s">
        <v>72</v>
      </c>
      <c r="K154" s="230" t="s">
        <v>74</v>
      </c>
      <c r="L154" s="240" t="s">
        <v>76</v>
      </c>
      <c r="M154" s="190"/>
      <c r="N154" s="190"/>
      <c r="O154" s="190"/>
      <c r="P154" s="190"/>
    </row>
    <row r="155" spans="2:16" ht="24" thickBot="1" x14ac:dyDescent="0.3">
      <c r="B155" s="192">
        <v>15</v>
      </c>
      <c r="C155" s="285"/>
      <c r="D155" s="241" t="s">
        <v>116</v>
      </c>
      <c r="E155" s="234" t="s">
        <v>174</v>
      </c>
      <c r="F155" s="235" t="s">
        <v>17</v>
      </c>
      <c r="G155" s="235" t="s">
        <v>17</v>
      </c>
      <c r="H155" s="235" t="s">
        <v>17</v>
      </c>
      <c r="I155" s="235" t="s">
        <v>17</v>
      </c>
      <c r="J155" s="235" t="s">
        <v>17</v>
      </c>
      <c r="K155" s="236" t="s">
        <v>17</v>
      </c>
      <c r="L155" s="217" t="s">
        <v>69</v>
      </c>
      <c r="M155" s="190"/>
      <c r="N155" s="190"/>
      <c r="O155" s="190"/>
      <c r="P155" s="190"/>
    </row>
    <row r="156" spans="2:16" ht="24" thickBot="1" x14ac:dyDescent="0.3">
      <c r="B156" s="192">
        <v>16</v>
      </c>
      <c r="C156" s="286" t="s">
        <v>170</v>
      </c>
      <c r="D156" s="166" t="s">
        <v>115</v>
      </c>
      <c r="E156" s="237" t="s">
        <v>174</v>
      </c>
      <c r="F156" s="226" t="s">
        <v>17</v>
      </c>
      <c r="G156" s="217" t="s">
        <v>69</v>
      </c>
      <c r="H156" s="226" t="s">
        <v>17</v>
      </c>
      <c r="I156" s="226" t="s">
        <v>17</v>
      </c>
      <c r="J156" s="226" t="s">
        <v>17</v>
      </c>
      <c r="K156" s="238" t="s">
        <v>17</v>
      </c>
      <c r="L156" s="240" t="s">
        <v>76</v>
      </c>
      <c r="M156" s="190"/>
      <c r="N156" s="190"/>
      <c r="O156" s="190"/>
      <c r="P156" s="190"/>
    </row>
    <row r="157" spans="2:16" ht="24" thickBot="1" x14ac:dyDescent="0.3">
      <c r="B157" s="192">
        <v>17</v>
      </c>
      <c r="C157" s="287"/>
      <c r="D157" s="218" t="s">
        <v>113</v>
      </c>
      <c r="E157" s="167" t="s">
        <v>175</v>
      </c>
      <c r="F157" s="223" t="s">
        <v>72</v>
      </c>
      <c r="G157" s="223" t="s">
        <v>72</v>
      </c>
      <c r="H157" s="223" t="s">
        <v>72</v>
      </c>
      <c r="I157" s="223" t="s">
        <v>72</v>
      </c>
      <c r="J157" s="223" t="s">
        <v>72</v>
      </c>
      <c r="K157" s="239" t="s">
        <v>74</v>
      </c>
      <c r="L157" s="217" t="s">
        <v>69</v>
      </c>
      <c r="M157" s="190"/>
      <c r="N157" s="227" t="s">
        <v>124</v>
      </c>
      <c r="O157" s="190"/>
      <c r="P157" s="190"/>
    </row>
    <row r="158" spans="2:16" ht="24" thickBot="1" x14ac:dyDescent="0.3">
      <c r="B158" s="191">
        <v>18</v>
      </c>
      <c r="C158" s="208"/>
      <c r="D158" s="221" t="s">
        <v>114</v>
      </c>
      <c r="E158" s="229" t="s">
        <v>176</v>
      </c>
      <c r="F158" s="91" t="s">
        <v>72</v>
      </c>
      <c r="G158" s="226" t="s">
        <v>17</v>
      </c>
      <c r="H158" s="91" t="s">
        <v>72</v>
      </c>
      <c r="I158" s="91" t="s">
        <v>72</v>
      </c>
      <c r="J158" s="91" t="s">
        <v>72</v>
      </c>
      <c r="K158" s="91" t="s">
        <v>74</v>
      </c>
      <c r="L158" s="222" t="s">
        <v>69</v>
      </c>
      <c r="M158" s="190"/>
      <c r="N158" s="227" t="s">
        <v>123</v>
      </c>
      <c r="O158" s="190"/>
      <c r="P158" s="190"/>
    </row>
    <row r="159" spans="2:16" ht="27.75" customHeight="1" thickBot="1" x14ac:dyDescent="0.3">
      <c r="B159" s="190"/>
      <c r="C159" s="191"/>
      <c r="D159" s="211" t="s">
        <v>179</v>
      </c>
      <c r="E159" s="243" t="str">
        <f>"11AM="&amp;N152&amp;" 12MD="&amp;N151&amp;" 1PM="&amp;N150</f>
        <v>11AM=7 12MD=7 1PM=4</v>
      </c>
      <c r="F159" s="215"/>
      <c r="G159" s="215"/>
      <c r="H159" s="215"/>
      <c r="I159" s="215"/>
      <c r="J159" s="215"/>
      <c r="K159" s="215"/>
      <c r="L159" s="213"/>
      <c r="M159" s="190"/>
      <c r="N159" s="174" t="s">
        <v>166</v>
      </c>
      <c r="O159" s="190"/>
      <c r="P159" s="190"/>
    </row>
    <row r="160" spans="2:16" ht="24" thickBot="1" x14ac:dyDescent="0.3">
      <c r="B160" s="190"/>
      <c r="C160" s="206"/>
      <c r="D160" s="197" t="s">
        <v>104</v>
      </c>
      <c r="E160" s="197"/>
      <c r="F160" s="198">
        <f t="shared" ref="F160:K160" si="0">COUNTIF(F141:F158,"7:00am - 4:00pm")</f>
        <v>8</v>
      </c>
      <c r="G160" s="198">
        <f t="shared" si="0"/>
        <v>7</v>
      </c>
      <c r="H160" s="198">
        <f t="shared" si="0"/>
        <v>8</v>
      </c>
      <c r="I160" s="198">
        <f t="shared" si="0"/>
        <v>8</v>
      </c>
      <c r="J160" s="198">
        <f t="shared" si="0"/>
        <v>7</v>
      </c>
      <c r="K160" s="198">
        <f t="shared" si="0"/>
        <v>7</v>
      </c>
      <c r="L160" s="198">
        <f>COUNTIF(L141:L158,"8:00am - 1:00pm")</f>
        <v>8</v>
      </c>
      <c r="M160" s="190"/>
      <c r="N160" s="227" t="s">
        <v>121</v>
      </c>
      <c r="O160" s="190"/>
      <c r="P160" s="190"/>
    </row>
    <row r="161" spans="2:16" ht="24" thickBot="1" x14ac:dyDescent="0.3">
      <c r="B161" s="190"/>
      <c r="C161" s="206"/>
      <c r="D161" s="199" t="s">
        <v>105</v>
      </c>
      <c r="E161" s="199"/>
      <c r="F161" s="200">
        <f>COUNTIF(F141:F158,"9:00am - 6:00pm")</f>
        <v>8</v>
      </c>
      <c r="G161" s="200">
        <f t="shared" ref="G161:L161" si="1">COUNTIF(G141:G158,"9:00am - 6:00pm")</f>
        <v>8</v>
      </c>
      <c r="H161" s="200">
        <f t="shared" si="1"/>
        <v>7</v>
      </c>
      <c r="I161" s="200">
        <f t="shared" si="1"/>
        <v>8</v>
      </c>
      <c r="J161" s="200">
        <f t="shared" si="1"/>
        <v>9</v>
      </c>
      <c r="K161" s="200">
        <f>COUNTIF(K141:K158,"8:00am - 5:00pm")</f>
        <v>9</v>
      </c>
      <c r="L161" s="200">
        <f t="shared" si="1"/>
        <v>0</v>
      </c>
      <c r="M161" s="190"/>
      <c r="N161" s="227" t="s">
        <v>120</v>
      </c>
      <c r="O161" s="190"/>
      <c r="P161" s="190"/>
    </row>
    <row r="162" spans="2:16" ht="23.25" x14ac:dyDescent="0.25">
      <c r="B162" s="190"/>
      <c r="C162" s="206"/>
      <c r="D162" s="197" t="s">
        <v>106</v>
      </c>
      <c r="E162" s="197"/>
      <c r="F162" s="200">
        <f>COUNTIF(F142:F159,"LIBRE")+1</f>
        <v>2</v>
      </c>
      <c r="G162" s="200">
        <f>COUNTIF(G142:G159,"LIBRE")+1</f>
        <v>3</v>
      </c>
      <c r="H162" s="200">
        <f>COUNTIF(H142:H159,"LIBRE")+2</f>
        <v>3</v>
      </c>
      <c r="I162" s="200">
        <f>COUNTIF(I142:I159,"LIBRE")+1</f>
        <v>2</v>
      </c>
      <c r="J162" s="200">
        <f>COUNTIF(J142:J159,"LIBRE")+1</f>
        <v>2</v>
      </c>
      <c r="K162" s="200">
        <f>COUNTIF(K142:K159,"LIBRE")+1</f>
        <v>2</v>
      </c>
      <c r="L162" s="200">
        <f>COUNTIF(L141:L159,"LIBRE")</f>
        <v>10</v>
      </c>
      <c r="M162" s="190"/>
      <c r="N162" s="227" t="s">
        <v>119</v>
      </c>
      <c r="O162" s="190"/>
      <c r="P162" s="190"/>
    </row>
    <row r="163" spans="2:16" ht="24" thickBot="1" x14ac:dyDescent="0.3">
      <c r="B163" s="190"/>
      <c r="C163" s="209"/>
      <c r="D163" s="207"/>
      <c r="E163" s="207"/>
      <c r="F163" s="207"/>
      <c r="G163" s="207"/>
      <c r="H163" s="207"/>
      <c r="I163" s="207"/>
      <c r="J163" s="207"/>
      <c r="K163" s="207"/>
      <c r="L163" s="207"/>
      <c r="M163" s="190"/>
      <c r="N163" s="162" t="s">
        <v>167</v>
      </c>
      <c r="O163" s="190"/>
      <c r="P163" s="190"/>
    </row>
    <row r="164" spans="2:16" ht="24" thickBot="1" x14ac:dyDescent="0.3">
      <c r="B164" s="192">
        <v>1</v>
      </c>
      <c r="C164" s="266" t="s">
        <v>112</v>
      </c>
      <c r="D164" s="171" t="s">
        <v>32</v>
      </c>
      <c r="E164" s="201" t="s">
        <v>174</v>
      </c>
      <c r="F164" s="196" t="s">
        <v>69</v>
      </c>
      <c r="G164" s="195" t="str">
        <f>IF(F164="9:00am - 6:00pm","9:00am - 6:00pm","7:00am - 4:00pm")</f>
        <v>7:00am - 4:00pm</v>
      </c>
      <c r="H164" s="195" t="str">
        <f t="shared" ref="H164:J165" si="2">IF(G164="9:00am - 6:00pm","9:00am - 6:00pm","7:00am - 4:00pm")</f>
        <v>7:00am - 4:00pm</v>
      </c>
      <c r="I164" s="195" t="str">
        <f t="shared" si="2"/>
        <v>7:00am - 4:00pm</v>
      </c>
      <c r="J164" s="195" t="str">
        <f t="shared" si="2"/>
        <v>7:00am - 4:00pm</v>
      </c>
      <c r="K164" s="195" t="s">
        <v>17</v>
      </c>
      <c r="L164" s="240" t="s">
        <v>76</v>
      </c>
      <c r="M164" s="190"/>
      <c r="N164" s="182" t="s">
        <v>117</v>
      </c>
      <c r="O164" s="190"/>
      <c r="P164" s="190"/>
    </row>
    <row r="165" spans="2:16" ht="24" thickBot="1" x14ac:dyDescent="0.3">
      <c r="B165" s="192">
        <v>2</v>
      </c>
      <c r="C165" s="266"/>
      <c r="D165" s="242" t="s">
        <v>171</v>
      </c>
      <c r="E165" s="216" t="s">
        <v>176</v>
      </c>
      <c r="F165" s="195" t="s">
        <v>17</v>
      </c>
      <c r="G165" s="195" t="str">
        <f t="shared" ref="G165:I166" si="3">IF(F165="9:00am - 6:00pm","9:00am - 6:00pm","7:00am - 4:00pm")</f>
        <v>7:00am - 4:00pm</v>
      </c>
      <c r="H165" s="195" t="str">
        <f t="shared" si="3"/>
        <v>7:00am - 4:00pm</v>
      </c>
      <c r="I165" s="195" t="str">
        <f t="shared" si="3"/>
        <v>7:00am - 4:00pm</v>
      </c>
      <c r="J165" s="195" t="str">
        <f t="shared" si="2"/>
        <v>7:00am - 4:00pm</v>
      </c>
      <c r="K165" s="195" t="str">
        <f>IF(J165="9:00am - 6:00pm","9:00am - 6:00pm","7:00am - 4:00pm")</f>
        <v>7:00am - 4:00pm</v>
      </c>
      <c r="L165" s="196" t="s">
        <v>69</v>
      </c>
      <c r="M165" s="190"/>
      <c r="N165" s="182" t="s">
        <v>115</v>
      </c>
      <c r="O165" s="190"/>
      <c r="P165" s="190"/>
    </row>
    <row r="166" spans="2:16" ht="24" thickBot="1" x14ac:dyDescent="0.3">
      <c r="B166" s="192">
        <v>3</v>
      </c>
      <c r="C166" s="266"/>
      <c r="D166" s="218" t="s">
        <v>79</v>
      </c>
      <c r="E166" s="201" t="s">
        <v>175</v>
      </c>
      <c r="F166" s="223" t="s">
        <v>72</v>
      </c>
      <c r="G166" s="223" t="str">
        <f t="shared" si="3"/>
        <v>9:00am - 6:00pm</v>
      </c>
      <c r="H166" s="223" t="str">
        <f t="shared" si="3"/>
        <v>9:00am - 6:00pm</v>
      </c>
      <c r="I166" s="223" t="str">
        <f t="shared" si="3"/>
        <v>9:00am - 6:00pm</v>
      </c>
      <c r="J166" s="223" t="str">
        <f>IF(I166="9:00am - 6:00pm","9:00am - 6:00pm","7:00am - 4:00pm")</f>
        <v>9:00am - 6:00pm</v>
      </c>
      <c r="K166" s="91" t="s">
        <v>74</v>
      </c>
      <c r="L166" s="196" t="s">
        <v>69</v>
      </c>
      <c r="M166" s="190"/>
      <c r="N166" s="180" t="s">
        <v>114</v>
      </c>
      <c r="O166" s="190"/>
      <c r="P166" s="190"/>
    </row>
    <row r="167" spans="2:16" ht="23.25" x14ac:dyDescent="0.25">
      <c r="B167" s="190"/>
      <c r="C167" s="266"/>
      <c r="D167" s="202" t="s">
        <v>104</v>
      </c>
      <c r="E167" s="202"/>
      <c r="F167" s="203">
        <f t="shared" ref="F167:K167" si="4">COUNTIF(F164:F166,"7:00am - 4:00pm")</f>
        <v>1</v>
      </c>
      <c r="G167" s="203">
        <f t="shared" si="4"/>
        <v>2</v>
      </c>
      <c r="H167" s="203">
        <f t="shared" si="4"/>
        <v>2</v>
      </c>
      <c r="I167" s="203">
        <f t="shared" si="4"/>
        <v>2</v>
      </c>
      <c r="J167" s="203">
        <f t="shared" si="4"/>
        <v>2</v>
      </c>
      <c r="K167" s="203">
        <f t="shared" si="4"/>
        <v>2</v>
      </c>
      <c r="L167" s="204">
        <v>1</v>
      </c>
      <c r="M167" s="190"/>
      <c r="N167" s="190"/>
      <c r="O167" s="190"/>
      <c r="P167" s="190"/>
    </row>
    <row r="168" spans="2:16" ht="23.25" x14ac:dyDescent="0.25">
      <c r="B168" s="190"/>
      <c r="C168" s="266"/>
      <c r="D168" s="199" t="s">
        <v>105</v>
      </c>
      <c r="E168" s="199"/>
      <c r="F168" s="200">
        <f>COUNTIF(F164:F166,"9:00am - 6:00pm")</f>
        <v>1</v>
      </c>
      <c r="G168" s="200">
        <f>COUNTIF(G164:G166,"9:00am - 6:00pm")</f>
        <v>1</v>
      </c>
      <c r="H168" s="200">
        <f>COUNTIF(H164:H166,"9:00am - 6:00pm")</f>
        <v>1</v>
      </c>
      <c r="I168" s="200">
        <f>COUNTIF(I164:I166,"9:00am - 6:00pm")</f>
        <v>1</v>
      </c>
      <c r="J168" s="200">
        <f>COUNTIF(J164:J166,"9:00am - 6:00pm")</f>
        <v>1</v>
      </c>
      <c r="K168" s="200">
        <f>COUNTIF(K164:K166,"8:00am - 5:00pm")</f>
        <v>1</v>
      </c>
      <c r="L168" s="205"/>
      <c r="M168" s="190"/>
      <c r="N168" s="190"/>
      <c r="O168" s="190"/>
      <c r="P168" s="190"/>
    </row>
    <row r="169" spans="2:16" ht="23.25" x14ac:dyDescent="0.25">
      <c r="B169" s="190"/>
      <c r="C169" s="266"/>
      <c r="D169" s="199" t="s">
        <v>106</v>
      </c>
      <c r="E169" s="199"/>
      <c r="F169" s="200">
        <f>COUNTIF(F164:F166,"LIBRE")</f>
        <v>1</v>
      </c>
      <c r="G169" s="200">
        <f t="shared" ref="G169:L169" si="5">COUNTIF(G164:G166,"LIBRE")</f>
        <v>0</v>
      </c>
      <c r="H169" s="200">
        <f t="shared" si="5"/>
        <v>0</v>
      </c>
      <c r="I169" s="200">
        <f t="shared" si="5"/>
        <v>0</v>
      </c>
      <c r="J169" s="200">
        <f t="shared" si="5"/>
        <v>0</v>
      </c>
      <c r="K169" s="200">
        <f t="shared" si="5"/>
        <v>0</v>
      </c>
      <c r="L169" s="200">
        <f t="shared" si="5"/>
        <v>2</v>
      </c>
      <c r="M169" s="189"/>
      <c r="N169" s="189"/>
      <c r="O169" s="189"/>
      <c r="P169" s="189"/>
    </row>
    <row r="170" spans="2:16" ht="21" x14ac:dyDescent="0.35">
      <c r="B170" s="190"/>
      <c r="C170" s="267" t="s">
        <v>142</v>
      </c>
      <c r="D170" s="267"/>
      <c r="E170" s="267"/>
      <c r="F170" s="267"/>
      <c r="G170" s="267"/>
      <c r="H170" s="267"/>
      <c r="I170" s="267"/>
      <c r="J170" s="267"/>
      <c r="K170" s="267"/>
      <c r="L170" s="267"/>
      <c r="M170" s="189"/>
      <c r="N170" s="189"/>
      <c r="O170" s="189"/>
      <c r="P170" s="189"/>
    </row>
    <row r="179" spans="2:14" ht="34.5" thickBot="1" x14ac:dyDescent="0.55000000000000004">
      <c r="B179" s="190"/>
      <c r="C179" s="190"/>
      <c r="D179" s="288" t="s">
        <v>204</v>
      </c>
      <c r="E179" s="288"/>
      <c r="F179" s="288"/>
      <c r="G179" s="288"/>
      <c r="H179" s="288"/>
      <c r="I179" s="288"/>
      <c r="J179" s="288"/>
      <c r="K179" s="288"/>
      <c r="L179" s="288"/>
    </row>
    <row r="180" spans="2:14" ht="165" customHeight="1" thickBot="1" x14ac:dyDescent="0.3">
      <c r="B180" s="264" t="s">
        <v>212</v>
      </c>
      <c r="C180" s="13" t="s">
        <v>169</v>
      </c>
      <c r="D180" s="214" t="s">
        <v>38</v>
      </c>
      <c r="E180" s="214" t="s">
        <v>173</v>
      </c>
      <c r="F180" s="214" t="s">
        <v>205</v>
      </c>
      <c r="G180" s="214" t="s">
        <v>206</v>
      </c>
      <c r="H180" s="214" t="s">
        <v>207</v>
      </c>
      <c r="I180" s="214" t="s">
        <v>208</v>
      </c>
      <c r="J180" s="214" t="s">
        <v>209</v>
      </c>
      <c r="K180" s="214" t="s">
        <v>210</v>
      </c>
      <c r="L180" s="210" t="s">
        <v>211</v>
      </c>
    </row>
    <row r="181" spans="2:14" ht="24" thickBot="1" x14ac:dyDescent="0.3">
      <c r="B181" s="254">
        <v>1</v>
      </c>
      <c r="C181" s="279">
        <v>1</v>
      </c>
      <c r="D181" s="171" t="s">
        <v>124</v>
      </c>
      <c r="E181" s="164" t="s">
        <v>174</v>
      </c>
      <c r="F181" s="217" t="s">
        <v>69</v>
      </c>
      <c r="G181" s="226" t="s">
        <v>17</v>
      </c>
      <c r="H181" s="226" t="s">
        <v>17</v>
      </c>
      <c r="I181" s="226" t="s">
        <v>17</v>
      </c>
      <c r="J181" s="226" t="s">
        <v>17</v>
      </c>
      <c r="K181" s="238" t="s">
        <v>17</v>
      </c>
      <c r="L181" s="240" t="s">
        <v>76</v>
      </c>
    </row>
    <row r="182" spans="2:14" ht="24" thickBot="1" x14ac:dyDescent="0.3">
      <c r="B182" s="192">
        <v>2</v>
      </c>
      <c r="C182" s="280"/>
      <c r="D182" s="221" t="s">
        <v>128</v>
      </c>
      <c r="E182" s="228" t="s">
        <v>176</v>
      </c>
      <c r="F182" s="223" t="s">
        <v>72</v>
      </c>
      <c r="G182" s="223" t="s">
        <v>72</v>
      </c>
      <c r="H182" s="223" t="s">
        <v>72</v>
      </c>
      <c r="I182" s="223" t="s">
        <v>72</v>
      </c>
      <c r="J182" s="223" t="s">
        <v>72</v>
      </c>
      <c r="K182" s="239" t="s">
        <v>74</v>
      </c>
      <c r="L182" s="217" t="s">
        <v>69</v>
      </c>
      <c r="N182" s="190"/>
    </row>
    <row r="183" spans="2:14" ht="24" thickBot="1" x14ac:dyDescent="0.3">
      <c r="B183" s="192">
        <v>3</v>
      </c>
      <c r="C183" s="279">
        <v>2</v>
      </c>
      <c r="D183" s="218" t="s">
        <v>123</v>
      </c>
      <c r="E183" s="164" t="s">
        <v>175</v>
      </c>
      <c r="F183" s="224" t="s">
        <v>72</v>
      </c>
      <c r="G183" s="224" t="s">
        <v>72</v>
      </c>
      <c r="H183" s="224" t="s">
        <v>72</v>
      </c>
      <c r="I183" s="224" t="s">
        <v>72</v>
      </c>
      <c r="J183" s="224" t="s">
        <v>72</v>
      </c>
      <c r="K183" s="230" t="s">
        <v>74</v>
      </c>
      <c r="L183" s="217" t="s">
        <v>69</v>
      </c>
      <c r="N183" s="190"/>
    </row>
    <row r="184" spans="2:14" ht="24" thickBot="1" x14ac:dyDescent="0.3">
      <c r="B184" s="192">
        <v>4</v>
      </c>
      <c r="C184" s="289"/>
      <c r="D184" s="260" t="s">
        <v>165</v>
      </c>
      <c r="E184" s="231" t="s">
        <v>174</v>
      </c>
      <c r="F184" s="235" t="s">
        <v>17</v>
      </c>
      <c r="G184" s="217" t="s">
        <v>69</v>
      </c>
      <c r="H184" s="235" t="s">
        <v>17</v>
      </c>
      <c r="I184" s="235" t="s">
        <v>17</v>
      </c>
      <c r="J184" s="235" t="s">
        <v>17</v>
      </c>
      <c r="K184" s="236" t="s">
        <v>17</v>
      </c>
      <c r="L184" s="240" t="s">
        <v>76</v>
      </c>
      <c r="N184" s="190"/>
    </row>
    <row r="185" spans="2:14" ht="24" thickBot="1" x14ac:dyDescent="0.3">
      <c r="B185" s="192">
        <v>5</v>
      </c>
      <c r="C185" s="279">
        <v>3</v>
      </c>
      <c r="D185" s="171" t="s">
        <v>122</v>
      </c>
      <c r="E185" s="164" t="s">
        <v>174</v>
      </c>
      <c r="F185" s="224" t="s">
        <v>72</v>
      </c>
      <c r="G185" s="224" t="s">
        <v>72</v>
      </c>
      <c r="H185" s="217" t="s">
        <v>69</v>
      </c>
      <c r="I185" s="224" t="s">
        <v>72</v>
      </c>
      <c r="J185" s="224" t="s">
        <v>72</v>
      </c>
      <c r="K185" s="230" t="s">
        <v>74</v>
      </c>
      <c r="L185" s="240" t="s">
        <v>76</v>
      </c>
      <c r="N185" s="190"/>
    </row>
    <row r="186" spans="2:14" ht="24" thickBot="1" x14ac:dyDescent="0.3">
      <c r="B186" s="192">
        <v>6</v>
      </c>
      <c r="C186" s="280"/>
      <c r="D186" s="221" t="s">
        <v>166</v>
      </c>
      <c r="E186" s="228" t="s">
        <v>176</v>
      </c>
      <c r="F186" s="149" t="s">
        <v>17</v>
      </c>
      <c r="G186" s="149" t="s">
        <v>17</v>
      </c>
      <c r="H186" s="149" t="s">
        <v>17</v>
      </c>
      <c r="I186" s="149" t="s">
        <v>17</v>
      </c>
      <c r="J186" s="149" t="s">
        <v>17</v>
      </c>
      <c r="K186" s="259" t="s">
        <v>17</v>
      </c>
      <c r="L186" s="217" t="s">
        <v>69</v>
      </c>
      <c r="N186" s="190"/>
    </row>
    <row r="187" spans="2:14" ht="24" thickBot="1" x14ac:dyDescent="0.3">
      <c r="B187" s="192">
        <v>7</v>
      </c>
      <c r="C187" s="279">
        <v>4</v>
      </c>
      <c r="D187" s="171" t="s">
        <v>121</v>
      </c>
      <c r="E187" s="164" t="s">
        <v>175</v>
      </c>
      <c r="F187" s="224" t="s">
        <v>72</v>
      </c>
      <c r="G187" s="224" t="s">
        <v>72</v>
      </c>
      <c r="H187" s="224" t="s">
        <v>72</v>
      </c>
      <c r="I187" s="224" t="s">
        <v>72</v>
      </c>
      <c r="J187" s="224" t="s">
        <v>72</v>
      </c>
      <c r="K187" s="217" t="s">
        <v>69</v>
      </c>
      <c r="L187" s="240" t="s">
        <v>76</v>
      </c>
      <c r="N187" s="190"/>
    </row>
    <row r="188" spans="2:14" ht="24" thickBot="1" x14ac:dyDescent="0.3">
      <c r="B188" s="192">
        <v>8</v>
      </c>
      <c r="C188" s="280"/>
      <c r="D188" s="221" t="s">
        <v>164</v>
      </c>
      <c r="E188" s="228" t="s">
        <v>176</v>
      </c>
      <c r="F188" s="149" t="s">
        <v>17</v>
      </c>
      <c r="G188" s="149" t="s">
        <v>17</v>
      </c>
      <c r="H188" s="149" t="s">
        <v>17</v>
      </c>
      <c r="I188" s="149" t="s">
        <v>17</v>
      </c>
      <c r="J188" s="149" t="s">
        <v>17</v>
      </c>
      <c r="K188" s="259" t="s">
        <v>17</v>
      </c>
      <c r="L188" s="217" t="s">
        <v>69</v>
      </c>
      <c r="N188" s="190"/>
    </row>
    <row r="189" spans="2:14" ht="24" thickBot="1" x14ac:dyDescent="0.3">
      <c r="B189" s="192">
        <v>9</v>
      </c>
      <c r="C189" s="279">
        <v>5</v>
      </c>
      <c r="D189" s="218" t="s">
        <v>120</v>
      </c>
      <c r="E189" s="164" t="s">
        <v>175</v>
      </c>
      <c r="F189" s="224" t="s">
        <v>72</v>
      </c>
      <c r="G189" s="224" t="s">
        <v>72</v>
      </c>
      <c r="H189" s="224" t="s">
        <v>72</v>
      </c>
      <c r="I189" s="224" t="s">
        <v>72</v>
      </c>
      <c r="J189" s="224" t="s">
        <v>72</v>
      </c>
      <c r="K189" s="230" t="s">
        <v>74</v>
      </c>
      <c r="L189" s="217" t="s">
        <v>69</v>
      </c>
      <c r="N189" s="190"/>
    </row>
    <row r="190" spans="2:14" ht="24" thickBot="1" x14ac:dyDescent="0.3">
      <c r="B190" s="192">
        <v>10</v>
      </c>
      <c r="C190" s="280"/>
      <c r="D190" s="166" t="s">
        <v>133</v>
      </c>
      <c r="E190" s="228" t="s">
        <v>174</v>
      </c>
      <c r="F190" s="149" t="s">
        <v>17</v>
      </c>
      <c r="G190" s="149" t="s">
        <v>17</v>
      </c>
      <c r="H190" s="149" t="s">
        <v>17</v>
      </c>
      <c r="I190" s="217" t="s">
        <v>69</v>
      </c>
      <c r="J190" s="149" t="s">
        <v>17</v>
      </c>
      <c r="K190" s="259" t="s">
        <v>17</v>
      </c>
      <c r="L190" s="240" t="s">
        <v>76</v>
      </c>
      <c r="N190" s="190"/>
    </row>
    <row r="191" spans="2:14" ht="24" thickBot="1" x14ac:dyDescent="0.3">
      <c r="B191" s="192">
        <v>11</v>
      </c>
      <c r="C191" s="281" t="s">
        <v>180</v>
      </c>
      <c r="D191" s="171" t="s">
        <v>119</v>
      </c>
      <c r="E191" s="164" t="s">
        <v>174</v>
      </c>
      <c r="F191" s="322" t="s">
        <v>17</v>
      </c>
      <c r="G191" s="322" t="s">
        <v>17</v>
      </c>
      <c r="H191" s="322" t="s">
        <v>17</v>
      </c>
      <c r="I191" s="322" t="s">
        <v>17</v>
      </c>
      <c r="J191" s="323" t="s">
        <v>69</v>
      </c>
      <c r="K191" s="238" t="s">
        <v>17</v>
      </c>
      <c r="L191" s="173" t="s">
        <v>76</v>
      </c>
      <c r="N191" s="190"/>
    </row>
    <row r="192" spans="2:14" ht="24" thickBot="1" x14ac:dyDescent="0.3">
      <c r="B192" s="192">
        <v>12</v>
      </c>
      <c r="C192" s="282"/>
      <c r="D192" s="257" t="s">
        <v>167</v>
      </c>
      <c r="E192" s="319" t="s">
        <v>176</v>
      </c>
      <c r="F192" s="194" t="s">
        <v>72</v>
      </c>
      <c r="G192" s="194" t="s">
        <v>72</v>
      </c>
      <c r="H192" s="194" t="s">
        <v>72</v>
      </c>
      <c r="I192" s="194" t="s">
        <v>72</v>
      </c>
      <c r="J192" s="195" t="s">
        <v>17</v>
      </c>
      <c r="K192" s="321" t="s">
        <v>74</v>
      </c>
      <c r="L192" s="217" t="s">
        <v>69</v>
      </c>
    </row>
    <row r="193" spans="1:14" ht="24" thickBot="1" x14ac:dyDescent="0.3">
      <c r="B193" s="192">
        <v>13</v>
      </c>
      <c r="C193" s="283"/>
      <c r="D193" s="262" t="s">
        <v>118</v>
      </c>
      <c r="E193" s="320" t="s">
        <v>175</v>
      </c>
      <c r="F193" s="223" t="s">
        <v>72</v>
      </c>
      <c r="G193" s="223" t="s">
        <v>72</v>
      </c>
      <c r="H193" s="223" t="s">
        <v>72</v>
      </c>
      <c r="I193" s="223" t="s">
        <v>72</v>
      </c>
      <c r="J193" s="223" t="s">
        <v>72</v>
      </c>
      <c r="K193" s="327" t="s">
        <v>74</v>
      </c>
      <c r="L193" s="328" t="s">
        <v>69</v>
      </c>
    </row>
    <row r="194" spans="1:14" ht="24" thickBot="1" x14ac:dyDescent="0.3">
      <c r="B194" s="192">
        <v>14</v>
      </c>
      <c r="C194" s="316" t="s">
        <v>168</v>
      </c>
      <c r="D194" s="324" t="s">
        <v>117</v>
      </c>
      <c r="E194" s="261" t="s">
        <v>174</v>
      </c>
      <c r="F194" s="146" t="s">
        <v>17</v>
      </c>
      <c r="G194" s="146" t="s">
        <v>17</v>
      </c>
      <c r="H194" s="146" t="s">
        <v>17</v>
      </c>
      <c r="I194" s="146" t="s">
        <v>17</v>
      </c>
      <c r="J194" s="146" t="s">
        <v>17</v>
      </c>
      <c r="K194" s="325" t="s">
        <v>17</v>
      </c>
      <c r="L194" s="326" t="s">
        <v>69</v>
      </c>
      <c r="N194" s="190">
        <f>COUNTIF(E181:E199,"11:00am")</f>
        <v>7</v>
      </c>
    </row>
    <row r="195" spans="1:14" s="190" customFormat="1" ht="24" thickBot="1" x14ac:dyDescent="0.3">
      <c r="A195" s="136"/>
      <c r="B195" s="192">
        <v>15</v>
      </c>
      <c r="C195" s="316"/>
      <c r="D195" s="262" t="s">
        <v>59</v>
      </c>
      <c r="E195" s="320" t="s">
        <v>175</v>
      </c>
      <c r="F195" s="146" t="s">
        <v>17</v>
      </c>
      <c r="G195" s="223" t="s">
        <v>72</v>
      </c>
      <c r="H195" s="146" t="s">
        <v>17</v>
      </c>
      <c r="I195" s="223" t="s">
        <v>72</v>
      </c>
      <c r="J195" s="146" t="s">
        <v>17</v>
      </c>
      <c r="K195" s="327" t="s">
        <v>74</v>
      </c>
      <c r="L195" s="326" t="s">
        <v>69</v>
      </c>
    </row>
    <row r="196" spans="1:14" ht="24" thickBot="1" x14ac:dyDescent="0.3">
      <c r="B196" s="192">
        <v>16</v>
      </c>
      <c r="C196" s="285"/>
      <c r="D196" s="166" t="s">
        <v>116</v>
      </c>
      <c r="E196" s="167" t="s">
        <v>176</v>
      </c>
      <c r="F196" s="224" t="s">
        <v>72</v>
      </c>
      <c r="G196" s="224" t="s">
        <v>72</v>
      </c>
      <c r="H196" s="224" t="s">
        <v>72</v>
      </c>
      <c r="I196" s="217" t="s">
        <v>69</v>
      </c>
      <c r="J196" s="224" t="s">
        <v>72</v>
      </c>
      <c r="K196" s="230" t="s">
        <v>74</v>
      </c>
      <c r="L196" s="240" t="s">
        <v>76</v>
      </c>
      <c r="N196" s="190">
        <f>COUNTIF(E181:E199,"12:00md")</f>
        <v>7</v>
      </c>
    </row>
    <row r="197" spans="1:14" ht="24" thickBot="1" x14ac:dyDescent="0.3">
      <c r="B197" s="192">
        <v>17</v>
      </c>
      <c r="C197" s="286" t="s">
        <v>170</v>
      </c>
      <c r="D197" s="263" t="s">
        <v>115</v>
      </c>
      <c r="E197" s="237" t="s">
        <v>176</v>
      </c>
      <c r="F197" s="224" t="s">
        <v>72</v>
      </c>
      <c r="G197" s="224" t="s">
        <v>72</v>
      </c>
      <c r="H197" s="224" t="s">
        <v>72</v>
      </c>
      <c r="I197" s="224" t="s">
        <v>72</v>
      </c>
      <c r="J197" s="224" t="s">
        <v>72</v>
      </c>
      <c r="K197" s="230" t="s">
        <v>74</v>
      </c>
      <c r="L197" s="217" t="s">
        <v>69</v>
      </c>
      <c r="N197" s="190">
        <f>COUNTIF(E181:E199,"1:00pm")</f>
        <v>5</v>
      </c>
    </row>
    <row r="198" spans="1:14" ht="24" thickBot="1" x14ac:dyDescent="0.3">
      <c r="B198" s="15">
        <v>18</v>
      </c>
      <c r="C198" s="329"/>
      <c r="D198" s="262" t="s">
        <v>113</v>
      </c>
      <c r="E198" s="167" t="s">
        <v>174</v>
      </c>
      <c r="F198" s="149" t="s">
        <v>17</v>
      </c>
      <c r="G198" s="149" t="s">
        <v>17</v>
      </c>
      <c r="H198" s="149" t="s">
        <v>17</v>
      </c>
      <c r="I198" s="149" t="s">
        <v>17</v>
      </c>
      <c r="J198" s="149" t="s">
        <v>17</v>
      </c>
      <c r="K198" s="259" t="s">
        <v>17</v>
      </c>
      <c r="L198" s="217" t="s">
        <v>69</v>
      </c>
    </row>
    <row r="199" spans="1:14" ht="24" thickBot="1" x14ac:dyDescent="0.3">
      <c r="B199" s="191">
        <v>19</v>
      </c>
      <c r="C199" s="191"/>
      <c r="D199" s="258" t="s">
        <v>114</v>
      </c>
      <c r="E199" s="261" t="s">
        <v>176</v>
      </c>
      <c r="F199" s="217" t="s">
        <v>69</v>
      </c>
      <c r="G199" s="149" t="s">
        <v>17</v>
      </c>
      <c r="H199" s="149" t="s">
        <v>17</v>
      </c>
      <c r="I199" s="149" t="s">
        <v>17</v>
      </c>
      <c r="J199" s="149" t="s">
        <v>17</v>
      </c>
      <c r="K199" s="149" t="s">
        <v>17</v>
      </c>
      <c r="L199" s="240" t="s">
        <v>76</v>
      </c>
    </row>
    <row r="200" spans="1:14" ht="23.25" x14ac:dyDescent="0.25">
      <c r="B200" s="191"/>
      <c r="C200" s="191"/>
      <c r="D200" s="211" t="s">
        <v>179</v>
      </c>
      <c r="E200" s="256" t="str">
        <f>"11AM="&amp;N194&amp;" 12MD="&amp;N196&amp;" 1PM="&amp;N197</f>
        <v>11AM=7 12MD=7 1PM=5</v>
      </c>
      <c r="F200" s="271"/>
      <c r="G200" s="272"/>
      <c r="H200" s="272"/>
      <c r="I200" s="272"/>
      <c r="J200" s="272"/>
      <c r="K200" s="272"/>
      <c r="L200" s="273"/>
    </row>
    <row r="201" spans="1:14" ht="23.25" x14ac:dyDescent="0.25">
      <c r="B201" s="191"/>
      <c r="C201" s="274"/>
      <c r="D201" s="197" t="s">
        <v>104</v>
      </c>
      <c r="E201" s="268"/>
      <c r="F201" s="198">
        <f t="shared" ref="F201:K201" si="6">COUNTIF(F181:F199,"7:00am - 4:00pm")</f>
        <v>8</v>
      </c>
      <c r="G201" s="198">
        <f t="shared" si="6"/>
        <v>8</v>
      </c>
      <c r="H201" s="198">
        <f t="shared" si="6"/>
        <v>10</v>
      </c>
      <c r="I201" s="198">
        <f t="shared" si="6"/>
        <v>8</v>
      </c>
      <c r="J201" s="198">
        <f t="shared" si="6"/>
        <v>10</v>
      </c>
      <c r="K201" s="198">
        <f t="shared" si="6"/>
        <v>9</v>
      </c>
      <c r="L201" s="198">
        <f>COUNTIF(L181:L199,"8:00am - 1:00pm")</f>
        <v>8</v>
      </c>
    </row>
    <row r="202" spans="1:14" ht="23.25" x14ac:dyDescent="0.25">
      <c r="B202" s="191"/>
      <c r="C202" s="275"/>
      <c r="D202" s="199" t="s">
        <v>105</v>
      </c>
      <c r="E202" s="269"/>
      <c r="F202" s="200">
        <f>COUNTIF(F181:F199,"9:00am - 6:00pm")</f>
        <v>9</v>
      </c>
      <c r="G202" s="200">
        <f t="shared" ref="G202:J202" si="7">COUNTIF(G181:G199,"9:00am - 6:00pm")</f>
        <v>10</v>
      </c>
      <c r="H202" s="200">
        <f t="shared" si="7"/>
        <v>8</v>
      </c>
      <c r="I202" s="200">
        <f t="shared" si="7"/>
        <v>9</v>
      </c>
      <c r="J202" s="200">
        <f t="shared" si="7"/>
        <v>8</v>
      </c>
      <c r="K202" s="200">
        <f>COUNTIF(K181:K199,"8:00am - 5:00pm")</f>
        <v>9</v>
      </c>
      <c r="L202" s="200">
        <f>COUNTIF(L181:L199,"9:00am - 6:00pm")</f>
        <v>0</v>
      </c>
    </row>
    <row r="203" spans="1:14" ht="23.25" x14ac:dyDescent="0.25">
      <c r="B203" s="191"/>
      <c r="C203" s="276"/>
      <c r="D203" s="197" t="s">
        <v>106</v>
      </c>
      <c r="E203" s="270"/>
      <c r="F203" s="200">
        <f>COUNTIF(F182:F200,"LIBRE")+1</f>
        <v>2</v>
      </c>
      <c r="G203" s="200">
        <f>COUNTIF(G182:G200,"LIBRE")</f>
        <v>1</v>
      </c>
      <c r="H203" s="200">
        <f>COUNTIF(H182:H200,"LIBRE")</f>
        <v>1</v>
      </c>
      <c r="I203" s="200">
        <f>COUNTIF(I182:I200,"LIBRE")</f>
        <v>2</v>
      </c>
      <c r="J203" s="200">
        <f>COUNTIF(J182:J200,"LIBRE")</f>
        <v>1</v>
      </c>
      <c r="K203" s="200">
        <f>COUNTIF(K182:K200,"LIBRE")</f>
        <v>1</v>
      </c>
      <c r="L203" s="200">
        <f>COUNTIF(L181:L200,"LIBRE")</f>
        <v>11</v>
      </c>
    </row>
    <row r="204" spans="1:14" ht="36.75" thickBot="1" x14ac:dyDescent="0.3">
      <c r="B204" s="191"/>
      <c r="C204" s="209"/>
      <c r="D204" s="277" t="s">
        <v>112</v>
      </c>
      <c r="E204" s="278"/>
      <c r="F204" s="278"/>
      <c r="G204" s="278"/>
      <c r="H204" s="278"/>
      <c r="I204" s="278"/>
      <c r="J204" s="278"/>
      <c r="K204" s="278"/>
      <c r="L204" s="278"/>
    </row>
    <row r="205" spans="1:14" ht="24" thickBot="1" x14ac:dyDescent="0.3">
      <c r="B205" s="192">
        <v>1</v>
      </c>
      <c r="C205" s="266" t="s">
        <v>112</v>
      </c>
      <c r="D205" s="218" t="s">
        <v>32</v>
      </c>
      <c r="E205" s="201" t="s">
        <v>174</v>
      </c>
      <c r="F205" s="195" t="s">
        <v>17</v>
      </c>
      <c r="G205" s="195" t="s">
        <v>17</v>
      </c>
      <c r="H205" s="224" t="s">
        <v>72</v>
      </c>
      <c r="I205" s="224" t="s">
        <v>72</v>
      </c>
      <c r="J205" s="224" t="s">
        <v>72</v>
      </c>
      <c r="K205" s="230" t="s">
        <v>74</v>
      </c>
      <c r="L205" s="196" t="s">
        <v>69</v>
      </c>
    </row>
    <row r="206" spans="1:14" ht="24" thickBot="1" x14ac:dyDescent="0.3">
      <c r="B206" s="192">
        <v>2</v>
      </c>
      <c r="C206" s="266"/>
      <c r="D206" s="166" t="s">
        <v>171</v>
      </c>
      <c r="E206" s="216" t="s">
        <v>176</v>
      </c>
      <c r="F206" s="224" t="s">
        <v>72</v>
      </c>
      <c r="G206" s="224" t="s">
        <v>72</v>
      </c>
      <c r="H206" s="217" t="s">
        <v>69</v>
      </c>
      <c r="I206" s="195" t="str">
        <f>IF(H206="9:00am - 6:00pm","9:00am - 6:00pm","7:00am - 4:00pm")</f>
        <v>7:00am - 4:00pm</v>
      </c>
      <c r="J206" s="195" t="str">
        <f>IF(I206="9:00am - 6:00pm","9:00am - 6:00pm","7:00am - 4:00pm")</f>
        <v>7:00am - 4:00pm</v>
      </c>
      <c r="K206" s="195" t="str">
        <f>IF(J206="9:00am - 6:00pm","9:00am - 6:00pm","7:00am - 4:00pm")</f>
        <v>7:00am - 4:00pm</v>
      </c>
      <c r="L206" s="240" t="s">
        <v>76</v>
      </c>
    </row>
    <row r="207" spans="1:14" ht="24" thickBot="1" x14ac:dyDescent="0.3">
      <c r="B207" s="192">
        <v>3</v>
      </c>
      <c r="C207" s="266"/>
      <c r="D207" s="218" t="s">
        <v>79</v>
      </c>
      <c r="E207" s="201" t="s">
        <v>175</v>
      </c>
      <c r="F207" s="255" t="s">
        <v>161</v>
      </c>
      <c r="G207" s="255" t="s">
        <v>161</v>
      </c>
      <c r="H207" s="255" t="s">
        <v>161</v>
      </c>
      <c r="I207" s="255" t="s">
        <v>161</v>
      </c>
      <c r="J207" s="255" t="s">
        <v>161</v>
      </c>
      <c r="K207" s="255" t="s">
        <v>161</v>
      </c>
      <c r="L207" s="196" t="s">
        <v>69</v>
      </c>
    </row>
    <row r="208" spans="1:14" ht="23.25" x14ac:dyDescent="0.25">
      <c r="B208" s="190"/>
      <c r="C208" s="266"/>
      <c r="D208" s="202" t="s">
        <v>104</v>
      </c>
      <c r="E208" s="268"/>
      <c r="F208" s="203">
        <f t="shared" ref="F208:K208" si="8">COUNTIF(F205:F207,"7:00am - 4:00pm")</f>
        <v>1</v>
      </c>
      <c r="G208" s="203">
        <f t="shared" si="8"/>
        <v>1</v>
      </c>
      <c r="H208" s="203">
        <f t="shared" si="8"/>
        <v>0</v>
      </c>
      <c r="I208" s="203">
        <f t="shared" si="8"/>
        <v>1</v>
      </c>
      <c r="J208" s="203">
        <f t="shared" si="8"/>
        <v>1</v>
      </c>
      <c r="K208" s="203">
        <f t="shared" si="8"/>
        <v>1</v>
      </c>
      <c r="L208" s="200">
        <f>COUNTIF(L205:L207,"8:00am - 1:00pm")</f>
        <v>1</v>
      </c>
    </row>
    <row r="209" spans="2:12" ht="23.25" x14ac:dyDescent="0.25">
      <c r="B209" s="190"/>
      <c r="C209" s="266"/>
      <c r="D209" s="199" t="s">
        <v>105</v>
      </c>
      <c r="E209" s="269"/>
      <c r="F209" s="200">
        <f>COUNTIF(F205:F207,"9:00am - 6:00pm")</f>
        <v>1</v>
      </c>
      <c r="G209" s="200">
        <f>COUNTIF(G205:G207,"9:00am - 6:00pm")</f>
        <v>1</v>
      </c>
      <c r="H209" s="200">
        <f>COUNTIF(H205:H207,"9:00am - 6:00pm")</f>
        <v>1</v>
      </c>
      <c r="I209" s="200">
        <f>COUNTIF(I205:I207,"9:00am - 6:00pm")</f>
        <v>1</v>
      </c>
      <c r="J209" s="200">
        <f>COUNTIF(J205:J207,"9:00am - 6:00pm")</f>
        <v>1</v>
      </c>
      <c r="K209" s="200">
        <f>COUNTIF(K205:K207,"8:00am - 5:00pm")</f>
        <v>1</v>
      </c>
      <c r="L209" s="200">
        <f>COUNTIF(L204:L206,"8:00am - 1:00pm")</f>
        <v>1</v>
      </c>
    </row>
    <row r="210" spans="2:12" ht="23.25" x14ac:dyDescent="0.25">
      <c r="B210" s="190"/>
      <c r="C210" s="266"/>
      <c r="D210" s="199" t="s">
        <v>106</v>
      </c>
      <c r="E210" s="269"/>
      <c r="F210" s="200">
        <f>COUNTIF(F205:F207,"LIBRE")</f>
        <v>0</v>
      </c>
      <c r="G210" s="200">
        <f t="shared" ref="G210:K210" si="9">COUNTIF(G205:G207,"LIBRE")</f>
        <v>0</v>
      </c>
      <c r="H210" s="200">
        <f t="shared" si="9"/>
        <v>1</v>
      </c>
      <c r="I210" s="200">
        <f t="shared" si="9"/>
        <v>0</v>
      </c>
      <c r="J210" s="200">
        <f t="shared" si="9"/>
        <v>0</v>
      </c>
      <c r="K210" s="200">
        <f t="shared" si="9"/>
        <v>0</v>
      </c>
      <c r="L210" s="200">
        <f>COUNTIF(L205:L207,"LIBRE")</f>
        <v>2</v>
      </c>
    </row>
    <row r="211" spans="2:12" ht="21" x14ac:dyDescent="0.35">
      <c r="B211" s="190"/>
      <c r="C211" s="267" t="s">
        <v>142</v>
      </c>
      <c r="D211" s="267"/>
      <c r="E211" s="267"/>
      <c r="F211" s="267"/>
      <c r="G211" s="267"/>
      <c r="H211" s="267"/>
      <c r="I211" s="267"/>
      <c r="J211" s="267"/>
      <c r="K211" s="267"/>
      <c r="L211" s="267"/>
    </row>
  </sheetData>
  <mergeCells count="59">
    <mergeCell ref="D139:L139"/>
    <mergeCell ref="C141:C142"/>
    <mergeCell ref="C143:C144"/>
    <mergeCell ref="C145:C146"/>
    <mergeCell ref="C147:C148"/>
    <mergeCell ref="H141:K141"/>
    <mergeCell ref="F145:H145"/>
    <mergeCell ref="D1:K1"/>
    <mergeCell ref="D23:K23"/>
    <mergeCell ref="C44:C49"/>
    <mergeCell ref="C170:L170"/>
    <mergeCell ref="C149:C150"/>
    <mergeCell ref="C90:C95"/>
    <mergeCell ref="C96:J96"/>
    <mergeCell ref="C68:C69"/>
    <mergeCell ref="C70:C71"/>
    <mergeCell ref="C72:C73"/>
    <mergeCell ref="C74:C75"/>
    <mergeCell ref="C76:C77"/>
    <mergeCell ref="C78:C80"/>
    <mergeCell ref="D100:L100"/>
    <mergeCell ref="C102:C103"/>
    <mergeCell ref="C104:C105"/>
    <mergeCell ref="A81:A82"/>
    <mergeCell ref="A36:A39"/>
    <mergeCell ref="A32:A33"/>
    <mergeCell ref="C81:C82"/>
    <mergeCell ref="C83:C84"/>
    <mergeCell ref="C63:J63"/>
    <mergeCell ref="D66:K66"/>
    <mergeCell ref="C50:J50"/>
    <mergeCell ref="D179:L179"/>
    <mergeCell ref="C181:C182"/>
    <mergeCell ref="C183:C184"/>
    <mergeCell ref="C185:C186"/>
    <mergeCell ref="C106:C107"/>
    <mergeCell ref="C108:C109"/>
    <mergeCell ref="C131:L131"/>
    <mergeCell ref="C110:C111"/>
    <mergeCell ref="C112:C114"/>
    <mergeCell ref="C115:C116"/>
    <mergeCell ref="C117:C118"/>
    <mergeCell ref="C125:C130"/>
    <mergeCell ref="C151:C153"/>
    <mergeCell ref="C154:C155"/>
    <mergeCell ref="C156:C157"/>
    <mergeCell ref="C164:C169"/>
    <mergeCell ref="C187:C188"/>
    <mergeCell ref="C189:C190"/>
    <mergeCell ref="C191:C193"/>
    <mergeCell ref="C194:C196"/>
    <mergeCell ref="C197:C198"/>
    <mergeCell ref="C205:C210"/>
    <mergeCell ref="C211:L211"/>
    <mergeCell ref="E201:E203"/>
    <mergeCell ref="F200:L200"/>
    <mergeCell ref="C201:C203"/>
    <mergeCell ref="E208:E210"/>
    <mergeCell ref="D204:L204"/>
  </mergeCells>
  <dataValidations count="3">
    <dataValidation type="list" allowBlank="1" showInputMessage="1" showErrorMessage="1" sqref="F165:F166 F205:G205">
      <formula1>$P$142:$P$143</formula1>
    </dataValidation>
    <dataValidation type="list" allowBlank="1" showInputMessage="1" showErrorMessage="1" sqref="E141:E158 E164:E166 E205:E207 E181:E199">
      <formula1>$P$145:$P$147</formula1>
    </dataValidation>
    <dataValidation type="list" allowBlank="1" showInputMessage="1" showErrorMessage="1" sqref="F144 F146:F158 F141:F142 G158 G188:K188 F182:F184 F186:F191 J192 F193:F198 H195">
      <formula1>$P$142:$P$144</formula1>
    </dataValidation>
  </dataValidations>
  <pageMargins left="0.39370078740157483" right="0.39370078740157483" top="0.78740157480314965" bottom="0" header="0" footer="0"/>
  <pageSetup scale="10" orientation="landscape"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L91"/>
  <sheetViews>
    <sheetView showGridLines="0" topLeftCell="A80" zoomScaleNormal="100" workbookViewId="0">
      <selection activeCell="C80" sqref="C1:C1048576"/>
    </sheetView>
  </sheetViews>
  <sheetFormatPr baseColWidth="10" defaultRowHeight="15" x14ac:dyDescent="0.25"/>
  <cols>
    <col min="1" max="1" width="3.7109375" bestFit="1" customWidth="1"/>
    <col min="2" max="2" width="20.42578125" bestFit="1" customWidth="1"/>
    <col min="3" max="6" width="24.42578125" customWidth="1"/>
    <col min="7" max="7" width="24" customWidth="1"/>
    <col min="8" max="8" width="25" customWidth="1"/>
    <col min="9" max="9" width="24.42578125" customWidth="1"/>
    <col min="12" max="12" width="20.140625" customWidth="1"/>
  </cols>
  <sheetData>
    <row r="1" spans="1:10" ht="21" x14ac:dyDescent="0.35">
      <c r="B1" s="296" t="s">
        <v>111</v>
      </c>
      <c r="C1" s="296"/>
      <c r="D1" s="296"/>
      <c r="E1" s="296"/>
      <c r="F1" s="296"/>
      <c r="G1" s="296"/>
      <c r="H1" s="296"/>
      <c r="I1" s="296"/>
    </row>
    <row r="2" spans="1:10" ht="84" customHeight="1" x14ac:dyDescent="0.25">
      <c r="B2" s="17" t="s">
        <v>38</v>
      </c>
      <c r="C2" s="16" t="s">
        <v>36</v>
      </c>
      <c r="D2" s="16" t="s">
        <v>37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</row>
    <row r="3" spans="1:10" x14ac:dyDescent="0.25">
      <c r="A3">
        <v>1</v>
      </c>
      <c r="B3" s="11" t="s">
        <v>47</v>
      </c>
      <c r="C3" s="25" t="s">
        <v>72</v>
      </c>
      <c r="D3" s="25" t="s">
        <v>72</v>
      </c>
      <c r="E3" s="25" t="s">
        <v>72</v>
      </c>
      <c r="F3" s="27" t="s">
        <v>17</v>
      </c>
      <c r="G3" s="27" t="s">
        <v>17</v>
      </c>
      <c r="H3" s="27" t="s">
        <v>17</v>
      </c>
      <c r="I3" s="32" t="s">
        <v>69</v>
      </c>
    </row>
    <row r="4" spans="1:10" x14ac:dyDescent="0.25">
      <c r="A4">
        <v>2</v>
      </c>
      <c r="B4" s="11" t="s">
        <v>48</v>
      </c>
      <c r="C4" s="27" t="s">
        <v>17</v>
      </c>
      <c r="D4" s="27" t="s">
        <v>17</v>
      </c>
      <c r="E4" s="27" t="s">
        <v>17</v>
      </c>
      <c r="F4" s="25" t="s">
        <v>72</v>
      </c>
      <c r="G4" s="25" t="s">
        <v>72</v>
      </c>
      <c r="H4" s="24" t="s">
        <v>16</v>
      </c>
      <c r="I4" s="32" t="s">
        <v>69</v>
      </c>
    </row>
    <row r="5" spans="1:10" x14ac:dyDescent="0.25">
      <c r="A5">
        <v>3</v>
      </c>
      <c r="B5" s="11" t="s">
        <v>49</v>
      </c>
      <c r="C5" s="25" t="s">
        <v>72</v>
      </c>
      <c r="D5" s="25" t="s">
        <v>72</v>
      </c>
      <c r="E5" s="25" t="s">
        <v>72</v>
      </c>
      <c r="F5" s="32" t="s">
        <v>69</v>
      </c>
      <c r="G5" s="27" t="s">
        <v>17</v>
      </c>
      <c r="H5" s="27" t="s">
        <v>17</v>
      </c>
      <c r="I5" s="27" t="s">
        <v>76</v>
      </c>
    </row>
    <row r="6" spans="1:10" x14ac:dyDescent="0.25">
      <c r="A6">
        <v>4</v>
      </c>
      <c r="B6" s="11" t="s">
        <v>50</v>
      </c>
      <c r="C6" s="25" t="s">
        <v>72</v>
      </c>
      <c r="D6" s="25" t="s">
        <v>72</v>
      </c>
      <c r="E6" s="25" t="s">
        <v>72</v>
      </c>
      <c r="F6" s="27" t="s">
        <v>17</v>
      </c>
      <c r="G6" s="27" t="s">
        <v>17</v>
      </c>
      <c r="H6" s="27" t="s">
        <v>17</v>
      </c>
      <c r="I6" s="32" t="s">
        <v>69</v>
      </c>
    </row>
    <row r="7" spans="1:10" x14ac:dyDescent="0.25">
      <c r="A7">
        <v>5</v>
      </c>
      <c r="B7" s="11" t="s">
        <v>51</v>
      </c>
      <c r="C7" s="27" t="s">
        <v>17</v>
      </c>
      <c r="D7" s="27" t="s">
        <v>17</v>
      </c>
      <c r="E7" s="27" t="s">
        <v>17</v>
      </c>
      <c r="F7" s="25" t="s">
        <v>72</v>
      </c>
      <c r="G7" s="25" t="s">
        <v>72</v>
      </c>
      <c r="H7" s="24" t="s">
        <v>16</v>
      </c>
      <c r="I7" s="32" t="s">
        <v>69</v>
      </c>
    </row>
    <row r="8" spans="1:10" x14ac:dyDescent="0.25">
      <c r="A8">
        <v>6</v>
      </c>
      <c r="B8" s="35" t="s">
        <v>52</v>
      </c>
      <c r="C8" s="36" t="s">
        <v>17</v>
      </c>
      <c r="D8" s="36" t="s">
        <v>17</v>
      </c>
      <c r="E8" s="36" t="s">
        <v>17</v>
      </c>
      <c r="F8" s="36" t="s">
        <v>72</v>
      </c>
      <c r="G8" s="36" t="s">
        <v>72</v>
      </c>
      <c r="H8" s="2" t="s">
        <v>16</v>
      </c>
      <c r="I8" s="32" t="s">
        <v>69</v>
      </c>
    </row>
    <row r="9" spans="1:10" x14ac:dyDescent="0.25">
      <c r="A9">
        <v>7</v>
      </c>
      <c r="B9" s="11" t="s">
        <v>53</v>
      </c>
      <c r="C9" s="27" t="s">
        <v>17</v>
      </c>
      <c r="D9" s="32" t="s">
        <v>69</v>
      </c>
      <c r="E9" s="27" t="s">
        <v>17</v>
      </c>
      <c r="F9" s="25" t="s">
        <v>72</v>
      </c>
      <c r="G9" s="25" t="s">
        <v>72</v>
      </c>
      <c r="H9" s="24" t="s">
        <v>16</v>
      </c>
      <c r="I9" s="27" t="s">
        <v>76</v>
      </c>
    </row>
    <row r="10" spans="1:10" x14ac:dyDescent="0.25">
      <c r="B10" s="37"/>
      <c r="C10" s="28" t="s">
        <v>80</v>
      </c>
      <c r="D10" s="28" t="s">
        <v>82</v>
      </c>
      <c r="E10" s="28" t="s">
        <v>80</v>
      </c>
      <c r="F10" s="28" t="s">
        <v>82</v>
      </c>
      <c r="G10" s="28" t="s">
        <v>80</v>
      </c>
      <c r="H10" s="28" t="s">
        <v>80</v>
      </c>
      <c r="I10" s="28" t="s">
        <v>80</v>
      </c>
    </row>
    <row r="11" spans="1:10" x14ac:dyDescent="0.25">
      <c r="B11" s="38"/>
      <c r="C11" s="39" t="s">
        <v>81</v>
      </c>
      <c r="D11" s="39" t="s">
        <v>81</v>
      </c>
      <c r="E11" s="39" t="s">
        <v>81</v>
      </c>
      <c r="F11" s="39" t="s">
        <v>81</v>
      </c>
      <c r="G11" s="39" t="s">
        <v>81</v>
      </c>
      <c r="H11" s="39" t="s">
        <v>81</v>
      </c>
      <c r="I11" s="39" t="s">
        <v>81</v>
      </c>
    </row>
    <row r="13" spans="1:10" ht="49.5" customHeight="1" x14ac:dyDescent="0.35">
      <c r="B13" s="296" t="s">
        <v>127</v>
      </c>
      <c r="C13" s="296"/>
      <c r="D13" s="296"/>
      <c r="E13" s="296"/>
      <c r="F13" s="296"/>
      <c r="G13" s="296"/>
      <c r="H13" s="296"/>
      <c r="I13" s="296"/>
    </row>
    <row r="14" spans="1:10" ht="77.25" customHeight="1" x14ac:dyDescent="0.25">
      <c r="B14" s="61" t="s">
        <v>38</v>
      </c>
      <c r="C14" s="62" t="s">
        <v>84</v>
      </c>
      <c r="D14" s="62" t="s">
        <v>85</v>
      </c>
      <c r="E14" s="62" t="s">
        <v>86</v>
      </c>
      <c r="F14" s="62" t="s">
        <v>87</v>
      </c>
      <c r="G14" s="62" t="s">
        <v>88</v>
      </c>
      <c r="H14" s="62" t="s">
        <v>89</v>
      </c>
      <c r="I14" s="62" t="s">
        <v>90</v>
      </c>
      <c r="J14" s="63"/>
    </row>
    <row r="15" spans="1:10" ht="49.5" customHeight="1" x14ac:dyDescent="0.25">
      <c r="A15" s="1">
        <v>1</v>
      </c>
      <c r="B15" s="103" t="s">
        <v>47</v>
      </c>
      <c r="C15" s="57" t="s">
        <v>17</v>
      </c>
      <c r="D15" s="56" t="s">
        <v>69</v>
      </c>
      <c r="E15" s="57" t="s">
        <v>17</v>
      </c>
      <c r="F15" s="58" t="s">
        <v>72</v>
      </c>
      <c r="G15" s="58" t="s">
        <v>72</v>
      </c>
      <c r="H15" s="59" t="s">
        <v>16</v>
      </c>
      <c r="I15" s="57" t="s">
        <v>76</v>
      </c>
    </row>
    <row r="16" spans="1:10" ht="49.5" customHeight="1" x14ac:dyDescent="0.25">
      <c r="A16" s="1">
        <v>2</v>
      </c>
      <c r="B16" s="103" t="s">
        <v>48</v>
      </c>
      <c r="C16" s="58" t="s">
        <v>72</v>
      </c>
      <c r="D16" s="58" t="s">
        <v>72</v>
      </c>
      <c r="E16" s="58" t="s">
        <v>72</v>
      </c>
      <c r="F16" s="57" t="s">
        <v>17</v>
      </c>
      <c r="G16" s="57" t="s">
        <v>17</v>
      </c>
      <c r="H16" s="57" t="s">
        <v>17</v>
      </c>
      <c r="I16" s="56" t="s">
        <v>69</v>
      </c>
    </row>
    <row r="17" spans="1:9" ht="49.5" customHeight="1" x14ac:dyDescent="0.25">
      <c r="A17" s="1">
        <v>3</v>
      </c>
      <c r="B17" s="103" t="s">
        <v>49</v>
      </c>
      <c r="C17" s="57" t="s">
        <v>17</v>
      </c>
      <c r="D17" s="57" t="s">
        <v>17</v>
      </c>
      <c r="E17" s="57" t="s">
        <v>17</v>
      </c>
      <c r="F17" s="58" t="s">
        <v>72</v>
      </c>
      <c r="G17" s="58" t="s">
        <v>72</v>
      </c>
      <c r="H17" s="59" t="s">
        <v>16</v>
      </c>
      <c r="I17" s="56" t="s">
        <v>69</v>
      </c>
    </row>
    <row r="18" spans="1:9" ht="49.5" customHeight="1" x14ac:dyDescent="0.25">
      <c r="A18" s="1">
        <v>4</v>
      </c>
      <c r="B18" s="103" t="s">
        <v>50</v>
      </c>
      <c r="C18" s="57" t="s">
        <v>17</v>
      </c>
      <c r="D18" s="57" t="s">
        <v>17</v>
      </c>
      <c r="E18" s="56" t="s">
        <v>69</v>
      </c>
      <c r="F18" s="58" t="s">
        <v>72</v>
      </c>
      <c r="G18" s="58" t="s">
        <v>72</v>
      </c>
      <c r="H18" s="59" t="s">
        <v>16</v>
      </c>
      <c r="I18" s="57" t="s">
        <v>76</v>
      </c>
    </row>
    <row r="19" spans="1:9" ht="49.5" customHeight="1" x14ac:dyDescent="0.25">
      <c r="A19" s="1">
        <v>5</v>
      </c>
      <c r="B19" s="104" t="s">
        <v>51</v>
      </c>
      <c r="C19" s="60" t="s">
        <v>126</v>
      </c>
      <c r="D19" s="57" t="s">
        <v>17</v>
      </c>
      <c r="E19" s="57" t="s">
        <v>17</v>
      </c>
      <c r="F19" s="56" t="s">
        <v>69</v>
      </c>
      <c r="G19" s="60" t="s">
        <v>126</v>
      </c>
      <c r="H19" s="60" t="s">
        <v>126</v>
      </c>
      <c r="I19" s="57" t="s">
        <v>76</v>
      </c>
    </row>
    <row r="20" spans="1:9" ht="49.5" customHeight="1" x14ac:dyDescent="0.25">
      <c r="A20" s="1">
        <v>6</v>
      </c>
      <c r="B20" s="103" t="s">
        <v>52</v>
      </c>
      <c r="C20" s="58" t="s">
        <v>72</v>
      </c>
      <c r="D20" s="58" t="s">
        <v>72</v>
      </c>
      <c r="E20" s="58" t="s">
        <v>72</v>
      </c>
      <c r="F20" s="57" t="s">
        <v>17</v>
      </c>
      <c r="G20" s="57" t="s">
        <v>17</v>
      </c>
      <c r="H20" s="57" t="s">
        <v>17</v>
      </c>
      <c r="I20" s="56" t="s">
        <v>69</v>
      </c>
    </row>
    <row r="21" spans="1:9" ht="49.5" customHeight="1" x14ac:dyDescent="0.25">
      <c r="A21" s="1">
        <v>7</v>
      </c>
      <c r="B21" s="103" t="s">
        <v>53</v>
      </c>
      <c r="C21" s="58" t="s">
        <v>72</v>
      </c>
      <c r="D21" s="58" t="s">
        <v>72</v>
      </c>
      <c r="E21" s="58" t="s">
        <v>72</v>
      </c>
      <c r="F21" s="57" t="s">
        <v>17</v>
      </c>
      <c r="G21" s="57" t="s">
        <v>17</v>
      </c>
      <c r="H21" s="57" t="s">
        <v>17</v>
      </c>
      <c r="I21" s="56" t="s">
        <v>69</v>
      </c>
    </row>
    <row r="22" spans="1:9" ht="49.5" customHeight="1" x14ac:dyDescent="0.25">
      <c r="A22" s="105" t="s">
        <v>140</v>
      </c>
      <c r="B22" s="103" t="s">
        <v>125</v>
      </c>
      <c r="C22" s="57" t="s">
        <v>17</v>
      </c>
      <c r="D22" s="57" t="s">
        <v>17</v>
      </c>
      <c r="E22" s="57" t="s">
        <v>17</v>
      </c>
      <c r="F22" s="57" t="s">
        <v>17</v>
      </c>
      <c r="G22" s="57" t="s">
        <v>17</v>
      </c>
      <c r="H22" s="57" t="s">
        <v>17</v>
      </c>
      <c r="I22" s="56" t="s">
        <v>69</v>
      </c>
    </row>
    <row r="23" spans="1:9" ht="15.75" customHeight="1" x14ac:dyDescent="0.25">
      <c r="B23" s="52" t="s">
        <v>104</v>
      </c>
      <c r="C23" s="52">
        <v>3</v>
      </c>
      <c r="D23" s="52">
        <v>3</v>
      </c>
      <c r="E23" s="52">
        <v>3</v>
      </c>
      <c r="F23" s="52">
        <v>3</v>
      </c>
      <c r="G23" s="52">
        <v>3</v>
      </c>
      <c r="H23" s="52">
        <v>3</v>
      </c>
      <c r="I23" s="52">
        <v>3</v>
      </c>
    </row>
    <row r="24" spans="1:9" ht="15.75" customHeight="1" x14ac:dyDescent="0.25">
      <c r="B24" s="52" t="s">
        <v>105</v>
      </c>
      <c r="C24" s="52">
        <v>3</v>
      </c>
      <c r="D24" s="52">
        <v>3</v>
      </c>
      <c r="E24" s="52">
        <v>3</v>
      </c>
      <c r="F24" s="52">
        <v>3</v>
      </c>
      <c r="G24" s="52">
        <v>3</v>
      </c>
      <c r="H24" s="52">
        <v>3</v>
      </c>
      <c r="I24" s="52">
        <v>3</v>
      </c>
    </row>
    <row r="25" spans="1:9" ht="15.75" customHeight="1" x14ac:dyDescent="0.25">
      <c r="B25" s="52" t="s">
        <v>106</v>
      </c>
      <c r="C25" s="52">
        <v>0</v>
      </c>
      <c r="D25" s="52">
        <v>1</v>
      </c>
      <c r="E25" s="52">
        <v>1</v>
      </c>
      <c r="F25" s="52">
        <v>1</v>
      </c>
      <c r="G25" s="52">
        <v>0</v>
      </c>
      <c r="H25" s="52">
        <v>0</v>
      </c>
      <c r="I25" s="52">
        <v>4</v>
      </c>
    </row>
    <row r="27" spans="1:9" ht="21" x14ac:dyDescent="0.35">
      <c r="B27" s="267" t="s">
        <v>142</v>
      </c>
      <c r="C27" s="267"/>
      <c r="D27" s="267"/>
      <c r="E27" s="267"/>
      <c r="F27" s="267"/>
      <c r="G27" s="267"/>
      <c r="H27" s="267"/>
      <c r="I27" s="267"/>
    </row>
    <row r="34" spans="1:9" ht="21" x14ac:dyDescent="0.35">
      <c r="B34" s="296" t="s">
        <v>148</v>
      </c>
      <c r="C34" s="296"/>
      <c r="D34" s="296"/>
      <c r="E34" s="296"/>
      <c r="F34" s="296"/>
      <c r="G34" s="296"/>
      <c r="H34" s="296"/>
      <c r="I34" s="296"/>
    </row>
    <row r="35" spans="1:9" ht="87" customHeight="1" x14ac:dyDescent="0.25">
      <c r="B35" s="61" t="s">
        <v>38</v>
      </c>
      <c r="C35" s="62" t="s">
        <v>149</v>
      </c>
      <c r="D35" s="62" t="s">
        <v>150</v>
      </c>
      <c r="E35" s="62" t="s">
        <v>151</v>
      </c>
      <c r="F35" s="62" t="s">
        <v>152</v>
      </c>
      <c r="G35" s="62" t="s">
        <v>153</v>
      </c>
      <c r="H35" s="62" t="s">
        <v>154</v>
      </c>
      <c r="I35" s="62" t="s">
        <v>155</v>
      </c>
    </row>
    <row r="36" spans="1:9" ht="77.25" customHeight="1" x14ac:dyDescent="0.25">
      <c r="A36" s="1">
        <v>1</v>
      </c>
      <c r="B36" s="103" t="s">
        <v>47</v>
      </c>
      <c r="C36" s="58" t="s">
        <v>72</v>
      </c>
      <c r="D36" s="58" t="s">
        <v>72</v>
      </c>
      <c r="E36" s="58" t="s">
        <v>72</v>
      </c>
      <c r="F36" s="57" t="s">
        <v>17</v>
      </c>
      <c r="G36" s="57" t="s">
        <v>17</v>
      </c>
      <c r="H36" s="57" t="s">
        <v>17</v>
      </c>
      <c r="I36" s="56" t="s">
        <v>69</v>
      </c>
    </row>
    <row r="37" spans="1:9" ht="77.25" customHeight="1" x14ac:dyDescent="0.25">
      <c r="A37" s="1">
        <v>2</v>
      </c>
      <c r="B37" s="117" t="s">
        <v>48</v>
      </c>
      <c r="C37" s="57" t="s">
        <v>17</v>
      </c>
      <c r="D37" s="56" t="s">
        <v>69</v>
      </c>
      <c r="E37" s="57" t="s">
        <v>17</v>
      </c>
      <c r="F37" s="58" t="s">
        <v>72</v>
      </c>
      <c r="G37" s="58" t="s">
        <v>72</v>
      </c>
      <c r="H37" s="59" t="s">
        <v>16</v>
      </c>
      <c r="I37" s="57" t="s">
        <v>76</v>
      </c>
    </row>
    <row r="38" spans="1:9" ht="77.25" customHeight="1" x14ac:dyDescent="0.25">
      <c r="A38" s="1">
        <v>3</v>
      </c>
      <c r="B38" s="103" t="s">
        <v>49</v>
      </c>
      <c r="C38" s="58" t="s">
        <v>72</v>
      </c>
      <c r="D38" s="58" t="s">
        <v>72</v>
      </c>
      <c r="E38" s="58" t="s">
        <v>72</v>
      </c>
      <c r="F38" s="57" t="s">
        <v>17</v>
      </c>
      <c r="G38" s="57" t="s">
        <v>17</v>
      </c>
      <c r="H38" s="57" t="s">
        <v>17</v>
      </c>
      <c r="I38" s="56" t="s">
        <v>69</v>
      </c>
    </row>
    <row r="39" spans="1:9" ht="77.25" customHeight="1" x14ac:dyDescent="0.25">
      <c r="A39" s="1">
        <v>4</v>
      </c>
      <c r="B39" s="103" t="s">
        <v>50</v>
      </c>
      <c r="C39" s="58" t="s">
        <v>72</v>
      </c>
      <c r="D39" s="58" t="s">
        <v>72</v>
      </c>
      <c r="E39" s="58" t="s">
        <v>72</v>
      </c>
      <c r="F39" s="57" t="s">
        <v>17</v>
      </c>
      <c r="G39" s="57" t="s">
        <v>17</v>
      </c>
      <c r="H39" s="57" t="s">
        <v>17</v>
      </c>
      <c r="I39" s="56" t="s">
        <v>69</v>
      </c>
    </row>
    <row r="40" spans="1:9" ht="77.25" customHeight="1" x14ac:dyDescent="0.25">
      <c r="A40" s="1">
        <v>5</v>
      </c>
      <c r="B40" s="104" t="s">
        <v>51</v>
      </c>
      <c r="C40" s="116" t="s">
        <v>156</v>
      </c>
      <c r="D40" s="57" t="s">
        <v>17</v>
      </c>
      <c r="E40" s="57" t="s">
        <v>17</v>
      </c>
      <c r="F40" s="58" t="s">
        <v>72</v>
      </c>
      <c r="G40" s="116" t="s">
        <v>156</v>
      </c>
      <c r="H40" s="116" t="s">
        <v>156</v>
      </c>
      <c r="I40" s="56" t="s">
        <v>69</v>
      </c>
    </row>
    <row r="41" spans="1:9" ht="77.25" customHeight="1" x14ac:dyDescent="0.25">
      <c r="A41" s="1">
        <v>6</v>
      </c>
      <c r="B41" s="117" t="s">
        <v>52</v>
      </c>
      <c r="C41" s="57" t="s">
        <v>17</v>
      </c>
      <c r="D41" s="57" t="s">
        <v>17</v>
      </c>
      <c r="E41" s="56" t="s">
        <v>69</v>
      </c>
      <c r="F41" s="58" t="s">
        <v>72</v>
      </c>
      <c r="G41" s="58" t="s">
        <v>72</v>
      </c>
      <c r="H41" s="59" t="s">
        <v>16</v>
      </c>
      <c r="I41" s="57" t="s">
        <v>76</v>
      </c>
    </row>
    <row r="42" spans="1:9" ht="77.25" customHeight="1" x14ac:dyDescent="0.25">
      <c r="A42" s="1">
        <v>7</v>
      </c>
      <c r="B42" s="117" t="s">
        <v>53</v>
      </c>
      <c r="C42" s="57" t="s">
        <v>17</v>
      </c>
      <c r="D42" s="57" t="s">
        <v>17</v>
      </c>
      <c r="E42" s="57" t="s">
        <v>17</v>
      </c>
      <c r="F42" s="56" t="s">
        <v>69</v>
      </c>
      <c r="G42" s="58" t="s">
        <v>72</v>
      </c>
      <c r="H42" s="59" t="s">
        <v>16</v>
      </c>
      <c r="I42" s="57" t="s">
        <v>76</v>
      </c>
    </row>
    <row r="43" spans="1:9" ht="77.25" customHeight="1" x14ac:dyDescent="0.25">
      <c r="A43" s="105" t="s">
        <v>140</v>
      </c>
      <c r="B43" s="103" t="s">
        <v>125</v>
      </c>
      <c r="C43" s="58" t="s">
        <v>72</v>
      </c>
      <c r="D43" s="58" t="s">
        <v>72</v>
      </c>
      <c r="E43" s="58" t="s">
        <v>72</v>
      </c>
      <c r="F43" s="57" t="s">
        <v>17</v>
      </c>
      <c r="G43" s="57" t="s">
        <v>17</v>
      </c>
      <c r="H43" s="57" t="s">
        <v>17</v>
      </c>
      <c r="I43" s="56" t="s">
        <v>69</v>
      </c>
    </row>
    <row r="44" spans="1:9" x14ac:dyDescent="0.25">
      <c r="B44" s="52" t="s">
        <v>104</v>
      </c>
      <c r="C44" s="52">
        <v>3</v>
      </c>
      <c r="D44" s="52">
        <v>3</v>
      </c>
      <c r="E44" s="52">
        <v>3</v>
      </c>
      <c r="F44" s="52">
        <v>3</v>
      </c>
      <c r="G44" s="52">
        <v>3</v>
      </c>
      <c r="H44" s="52">
        <v>3</v>
      </c>
      <c r="I44" s="52">
        <v>3</v>
      </c>
    </row>
    <row r="45" spans="1:9" x14ac:dyDescent="0.25">
      <c r="B45" s="52" t="s">
        <v>105</v>
      </c>
      <c r="C45" s="52">
        <v>3</v>
      </c>
      <c r="D45" s="52">
        <v>3</v>
      </c>
      <c r="E45" s="52">
        <v>3</v>
      </c>
      <c r="F45" s="52">
        <v>3</v>
      </c>
      <c r="G45" s="52">
        <v>3</v>
      </c>
      <c r="H45" s="52">
        <v>3</v>
      </c>
      <c r="I45" s="52">
        <v>3</v>
      </c>
    </row>
    <row r="46" spans="1:9" x14ac:dyDescent="0.25">
      <c r="B46" s="52" t="s">
        <v>106</v>
      </c>
      <c r="C46" s="52">
        <v>0</v>
      </c>
      <c r="D46" s="52">
        <v>1</v>
      </c>
      <c r="E46" s="52">
        <v>1</v>
      </c>
      <c r="F46" s="52">
        <v>1</v>
      </c>
      <c r="G46" s="52">
        <v>0</v>
      </c>
      <c r="H46" s="52">
        <v>0</v>
      </c>
      <c r="I46" s="52">
        <v>4</v>
      </c>
    </row>
    <row r="48" spans="1:9" ht="21" x14ac:dyDescent="0.35">
      <c r="B48" s="267" t="s">
        <v>142</v>
      </c>
      <c r="C48" s="267"/>
      <c r="D48" s="267"/>
      <c r="E48" s="267"/>
      <c r="F48" s="267"/>
      <c r="G48" s="267"/>
      <c r="H48" s="267"/>
      <c r="I48" s="267"/>
    </row>
    <row r="59" spans="1:9" ht="21" x14ac:dyDescent="0.35">
      <c r="A59" s="190"/>
      <c r="B59" s="296" t="s">
        <v>195</v>
      </c>
      <c r="C59" s="296"/>
      <c r="D59" s="296"/>
      <c r="E59" s="296"/>
      <c r="F59" s="296"/>
      <c r="G59" s="296"/>
      <c r="H59" s="296"/>
      <c r="I59" s="296"/>
    </row>
    <row r="60" spans="1:9" ht="87.75" customHeight="1" x14ac:dyDescent="0.25">
      <c r="A60" s="190"/>
      <c r="B60" s="61" t="s">
        <v>38</v>
      </c>
      <c r="C60" s="244" t="s">
        <v>187</v>
      </c>
      <c r="D60" s="244" t="s">
        <v>188</v>
      </c>
      <c r="E60" s="244" t="s">
        <v>189</v>
      </c>
      <c r="F60" s="244" t="s">
        <v>190</v>
      </c>
      <c r="G60" s="244" t="s">
        <v>191</v>
      </c>
      <c r="H60" s="244" t="s">
        <v>192</v>
      </c>
      <c r="I60" s="118" t="s">
        <v>193</v>
      </c>
    </row>
    <row r="61" spans="1:9" ht="90.75" customHeight="1" x14ac:dyDescent="0.25">
      <c r="A61" s="191">
        <v>1</v>
      </c>
      <c r="B61" s="117" t="s">
        <v>47</v>
      </c>
      <c r="C61" s="57" t="s">
        <v>17</v>
      </c>
      <c r="D61" s="56" t="s">
        <v>69</v>
      </c>
      <c r="E61" s="57" t="s">
        <v>17</v>
      </c>
      <c r="F61" s="58" t="s">
        <v>72</v>
      </c>
      <c r="G61" s="58" t="s">
        <v>72</v>
      </c>
      <c r="H61" s="59" t="s">
        <v>74</v>
      </c>
      <c r="I61" s="57" t="s">
        <v>76</v>
      </c>
    </row>
    <row r="62" spans="1:9" ht="90.75" customHeight="1" x14ac:dyDescent="0.25">
      <c r="A62" s="191">
        <v>2</v>
      </c>
      <c r="B62" s="103" t="s">
        <v>48</v>
      </c>
      <c r="C62" s="248" t="s">
        <v>161</v>
      </c>
      <c r="D62" s="248" t="s">
        <v>161</v>
      </c>
      <c r="E62" s="248" t="s">
        <v>161</v>
      </c>
      <c r="F62" s="248" t="s">
        <v>161</v>
      </c>
      <c r="G62" s="248" t="s">
        <v>161</v>
      </c>
      <c r="H62" s="248" t="s">
        <v>161</v>
      </c>
      <c r="I62" s="56" t="s">
        <v>69</v>
      </c>
    </row>
    <row r="63" spans="1:9" ht="90.75" customHeight="1" x14ac:dyDescent="0.25">
      <c r="A63" s="191">
        <v>3</v>
      </c>
      <c r="B63" s="117" t="s">
        <v>49</v>
      </c>
      <c r="C63" s="57" t="s">
        <v>17</v>
      </c>
      <c r="D63" s="57" t="s">
        <v>17</v>
      </c>
      <c r="E63" s="57" t="s">
        <v>17</v>
      </c>
      <c r="F63" s="56" t="s">
        <v>69</v>
      </c>
      <c r="G63" s="58" t="s">
        <v>72</v>
      </c>
      <c r="H63" s="59" t="s">
        <v>74</v>
      </c>
      <c r="I63" s="57" t="s">
        <v>76</v>
      </c>
    </row>
    <row r="64" spans="1:9" ht="90.75" customHeight="1" x14ac:dyDescent="0.25">
      <c r="A64" s="191">
        <v>4</v>
      </c>
      <c r="B64" s="103" t="s">
        <v>50</v>
      </c>
      <c r="C64" s="57" t="s">
        <v>17</v>
      </c>
      <c r="D64" s="57" t="s">
        <v>17</v>
      </c>
      <c r="E64" s="57" t="s">
        <v>17</v>
      </c>
      <c r="F64" s="58" t="s">
        <v>72</v>
      </c>
      <c r="G64" s="58" t="s">
        <v>72</v>
      </c>
      <c r="H64" s="59" t="s">
        <v>74</v>
      </c>
      <c r="I64" s="56" t="s">
        <v>69</v>
      </c>
    </row>
    <row r="65" spans="1:12" ht="90.75" customHeight="1" x14ac:dyDescent="0.25">
      <c r="A65" s="191">
        <v>5</v>
      </c>
      <c r="B65" s="103" t="s">
        <v>51</v>
      </c>
      <c r="C65" s="247" t="s">
        <v>196</v>
      </c>
      <c r="D65" s="57" t="s">
        <v>17</v>
      </c>
      <c r="E65" s="247" t="s">
        <v>196</v>
      </c>
      <c r="F65" s="58" t="s">
        <v>72</v>
      </c>
      <c r="G65" s="57" t="s">
        <v>17</v>
      </c>
      <c r="H65" s="247" t="s">
        <v>196</v>
      </c>
      <c r="I65" s="56" t="s">
        <v>69</v>
      </c>
      <c r="L65" s="249" t="s">
        <v>48</v>
      </c>
    </row>
    <row r="66" spans="1:12" ht="90.75" customHeight="1" x14ac:dyDescent="0.25">
      <c r="A66" s="191">
        <v>6</v>
      </c>
      <c r="B66" s="103" t="s">
        <v>52</v>
      </c>
      <c r="C66" s="58" t="s">
        <v>72</v>
      </c>
      <c r="D66" s="58" t="s">
        <v>72</v>
      </c>
      <c r="E66" s="58" t="s">
        <v>72</v>
      </c>
      <c r="F66" s="57" t="s">
        <v>17</v>
      </c>
      <c r="G66" s="57" t="s">
        <v>17</v>
      </c>
      <c r="H66" s="57" t="s">
        <v>17</v>
      </c>
      <c r="I66" s="56" t="s">
        <v>69</v>
      </c>
      <c r="L66" s="249" t="s">
        <v>52</v>
      </c>
    </row>
    <row r="67" spans="1:12" ht="90.75" customHeight="1" x14ac:dyDescent="0.25">
      <c r="A67" s="191">
        <v>7</v>
      </c>
      <c r="B67" s="103" t="s">
        <v>53</v>
      </c>
      <c r="C67" s="58" t="s">
        <v>72</v>
      </c>
      <c r="D67" s="58" t="s">
        <v>72</v>
      </c>
      <c r="E67" s="58" t="s">
        <v>72</v>
      </c>
      <c r="F67" s="57" t="s">
        <v>17</v>
      </c>
      <c r="G67" s="57" t="s">
        <v>17</v>
      </c>
      <c r="H67" s="57" t="s">
        <v>17</v>
      </c>
      <c r="I67" s="56" t="s">
        <v>69</v>
      </c>
      <c r="L67" s="249" t="s">
        <v>53</v>
      </c>
    </row>
    <row r="68" spans="1:12" ht="90.75" customHeight="1" x14ac:dyDescent="0.25">
      <c r="A68" s="191">
        <v>8</v>
      </c>
      <c r="B68" s="117" t="s">
        <v>125</v>
      </c>
      <c r="C68" s="58" t="s">
        <v>72</v>
      </c>
      <c r="D68" s="58" t="s">
        <v>72</v>
      </c>
      <c r="E68" s="58" t="s">
        <v>72</v>
      </c>
      <c r="F68" s="57" t="s">
        <v>17</v>
      </c>
      <c r="G68" s="56" t="s">
        <v>69</v>
      </c>
      <c r="H68" s="57" t="s">
        <v>17</v>
      </c>
      <c r="I68" s="57" t="s">
        <v>76</v>
      </c>
    </row>
    <row r="69" spans="1:12" x14ac:dyDescent="0.25">
      <c r="A69" s="190"/>
      <c r="B69" s="52" t="s">
        <v>104</v>
      </c>
      <c r="C69" s="52">
        <v>3</v>
      </c>
      <c r="D69" s="52">
        <v>3</v>
      </c>
      <c r="E69" s="52">
        <v>3</v>
      </c>
      <c r="F69" s="52">
        <v>3</v>
      </c>
      <c r="G69" s="52">
        <v>3</v>
      </c>
      <c r="H69" s="52">
        <v>3</v>
      </c>
      <c r="I69" s="52">
        <v>3</v>
      </c>
    </row>
    <row r="70" spans="1:12" x14ac:dyDescent="0.25">
      <c r="A70" s="190"/>
      <c r="B70" s="52" t="s">
        <v>105</v>
      </c>
      <c r="C70" s="52">
        <v>3</v>
      </c>
      <c r="D70" s="52">
        <v>3</v>
      </c>
      <c r="E70" s="52">
        <v>3</v>
      </c>
      <c r="F70" s="52">
        <v>3</v>
      </c>
      <c r="G70" s="52">
        <v>3</v>
      </c>
      <c r="H70" s="52">
        <v>3</v>
      </c>
      <c r="I70" s="52">
        <v>3</v>
      </c>
    </row>
    <row r="71" spans="1:12" x14ac:dyDescent="0.25">
      <c r="A71" s="190"/>
      <c r="B71" s="52" t="s">
        <v>106</v>
      </c>
      <c r="C71" s="52">
        <v>0</v>
      </c>
      <c r="D71" s="52">
        <v>1</v>
      </c>
      <c r="E71" s="52">
        <v>1</v>
      </c>
      <c r="F71" s="52">
        <v>1</v>
      </c>
      <c r="G71" s="52">
        <v>0</v>
      </c>
      <c r="H71" s="52">
        <v>0</v>
      </c>
      <c r="I71" s="52">
        <v>4</v>
      </c>
    </row>
    <row r="72" spans="1:12" x14ac:dyDescent="0.25">
      <c r="A72" s="190"/>
      <c r="B72" s="190"/>
      <c r="C72" s="190"/>
      <c r="D72" s="190"/>
      <c r="E72" s="190"/>
      <c r="F72" s="190"/>
      <c r="G72" s="190"/>
      <c r="H72" s="190"/>
      <c r="I72" s="190"/>
    </row>
    <row r="73" spans="1:12" ht="21" x14ac:dyDescent="0.35">
      <c r="A73" s="190"/>
      <c r="B73" s="267" t="s">
        <v>142</v>
      </c>
      <c r="C73" s="267"/>
      <c r="D73" s="267"/>
      <c r="E73" s="267"/>
      <c r="F73" s="267"/>
      <c r="G73" s="267"/>
      <c r="H73" s="267"/>
      <c r="I73" s="267"/>
    </row>
    <row r="79" spans="1:12" ht="21" x14ac:dyDescent="0.35">
      <c r="A79" s="190"/>
      <c r="B79" s="296" t="s">
        <v>214</v>
      </c>
      <c r="C79" s="296"/>
      <c r="D79" s="296"/>
      <c r="E79" s="296"/>
      <c r="F79" s="296"/>
      <c r="G79" s="296"/>
      <c r="H79" s="296"/>
      <c r="I79" s="296"/>
    </row>
    <row r="80" spans="1:12" ht="129" customHeight="1" x14ac:dyDescent="0.25">
      <c r="A80" s="190"/>
      <c r="B80" s="61" t="s">
        <v>38</v>
      </c>
      <c r="C80" s="214" t="s">
        <v>205</v>
      </c>
      <c r="D80" s="214" t="s">
        <v>206</v>
      </c>
      <c r="E80" s="214" t="s">
        <v>207</v>
      </c>
      <c r="F80" s="214" t="s">
        <v>208</v>
      </c>
      <c r="G80" s="214" t="s">
        <v>209</v>
      </c>
      <c r="H80" s="214" t="s">
        <v>210</v>
      </c>
      <c r="I80" s="210" t="s">
        <v>211</v>
      </c>
    </row>
    <row r="81" spans="1:9" x14ac:dyDescent="0.25">
      <c r="A81" s="191">
        <v>1</v>
      </c>
      <c r="B81" s="103" t="s">
        <v>47</v>
      </c>
      <c r="C81" s="58" t="s">
        <v>72</v>
      </c>
      <c r="D81" s="58" t="s">
        <v>72</v>
      </c>
      <c r="E81" s="58" t="s">
        <v>72</v>
      </c>
      <c r="F81" s="57" t="s">
        <v>17</v>
      </c>
      <c r="G81" s="57" t="s">
        <v>17</v>
      </c>
      <c r="H81" s="57" t="s">
        <v>17</v>
      </c>
      <c r="I81" s="56" t="s">
        <v>69</v>
      </c>
    </row>
    <row r="82" spans="1:9" x14ac:dyDescent="0.25">
      <c r="A82" s="191">
        <v>2</v>
      </c>
      <c r="B82" s="117" t="s">
        <v>48</v>
      </c>
      <c r="C82" s="57" t="s">
        <v>17</v>
      </c>
      <c r="D82" s="57" t="s">
        <v>17</v>
      </c>
      <c r="E82" s="56" t="s">
        <v>69</v>
      </c>
      <c r="F82" s="58" t="s">
        <v>72</v>
      </c>
      <c r="G82" s="58" t="s">
        <v>72</v>
      </c>
      <c r="H82" s="59" t="s">
        <v>74</v>
      </c>
      <c r="I82" s="57" t="s">
        <v>76</v>
      </c>
    </row>
    <row r="83" spans="1:9" x14ac:dyDescent="0.25">
      <c r="A83" s="191">
        <v>3</v>
      </c>
      <c r="B83" s="103" t="s">
        <v>49</v>
      </c>
      <c r="C83" s="58" t="s">
        <v>72</v>
      </c>
      <c r="D83" s="58" t="s">
        <v>72</v>
      </c>
      <c r="E83" s="58" t="s">
        <v>72</v>
      </c>
      <c r="F83" s="57" t="s">
        <v>17</v>
      </c>
      <c r="G83" s="57" t="s">
        <v>17</v>
      </c>
      <c r="H83" s="57" t="s">
        <v>17</v>
      </c>
      <c r="I83" s="56" t="s">
        <v>69</v>
      </c>
    </row>
    <row r="84" spans="1:9" x14ac:dyDescent="0.25">
      <c r="A84" s="191">
        <v>4</v>
      </c>
      <c r="B84" s="117" t="s">
        <v>50</v>
      </c>
      <c r="C84" s="58" t="s">
        <v>72</v>
      </c>
      <c r="D84" s="58" t="s">
        <v>72</v>
      </c>
      <c r="E84" s="58" t="s">
        <v>72</v>
      </c>
      <c r="F84" s="56" t="s">
        <v>69</v>
      </c>
      <c r="G84" s="57" t="s">
        <v>17</v>
      </c>
      <c r="H84" s="57" t="s">
        <v>17</v>
      </c>
      <c r="I84" s="56" t="s">
        <v>69</v>
      </c>
    </row>
    <row r="85" spans="1:9" x14ac:dyDescent="0.25">
      <c r="A85" s="191">
        <v>5</v>
      </c>
      <c r="B85" s="103" t="s">
        <v>51</v>
      </c>
      <c r="C85" s="247" t="s">
        <v>196</v>
      </c>
      <c r="D85" s="247" t="s">
        <v>196</v>
      </c>
      <c r="E85" s="247" t="s">
        <v>196</v>
      </c>
      <c r="F85" s="247" t="s">
        <v>196</v>
      </c>
      <c r="G85" s="247" t="s">
        <v>196</v>
      </c>
      <c r="H85" s="247" t="s">
        <v>196</v>
      </c>
      <c r="I85" s="57" t="s">
        <v>76</v>
      </c>
    </row>
    <row r="86" spans="1:9" x14ac:dyDescent="0.25">
      <c r="A86" s="191">
        <v>6</v>
      </c>
      <c r="B86" s="117" t="s">
        <v>52</v>
      </c>
      <c r="C86" s="57" t="s">
        <v>17</v>
      </c>
      <c r="D86" s="56" t="s">
        <v>69</v>
      </c>
      <c r="E86" s="57" t="s">
        <v>17</v>
      </c>
      <c r="F86" s="58" t="s">
        <v>72</v>
      </c>
      <c r="G86" s="58" t="s">
        <v>72</v>
      </c>
      <c r="H86" s="59" t="s">
        <v>74</v>
      </c>
      <c r="I86" s="57" t="s">
        <v>76</v>
      </c>
    </row>
    <row r="87" spans="1:9" x14ac:dyDescent="0.25">
      <c r="A87" s="191">
        <v>7</v>
      </c>
      <c r="B87" s="103" t="s">
        <v>53</v>
      </c>
      <c r="C87" s="57" t="s">
        <v>17</v>
      </c>
      <c r="D87" s="57" t="s">
        <v>17</v>
      </c>
      <c r="E87" s="57" t="s">
        <v>17</v>
      </c>
      <c r="F87" s="58" t="s">
        <v>72</v>
      </c>
      <c r="G87" s="58" t="s">
        <v>72</v>
      </c>
      <c r="H87" s="59" t="s">
        <v>74</v>
      </c>
      <c r="I87" s="56" t="s">
        <v>69</v>
      </c>
    </row>
    <row r="88" spans="1:9" x14ac:dyDescent="0.25">
      <c r="A88" s="191">
        <v>8</v>
      </c>
      <c r="B88" s="103" t="s">
        <v>125</v>
      </c>
      <c r="C88" s="56" t="s">
        <v>69</v>
      </c>
      <c r="D88" s="57" t="s">
        <v>17</v>
      </c>
      <c r="E88" s="57" t="s">
        <v>17</v>
      </c>
      <c r="F88" s="57" t="s">
        <v>17</v>
      </c>
      <c r="G88" s="58" t="s">
        <v>72</v>
      </c>
      <c r="H88" s="59" t="s">
        <v>74</v>
      </c>
      <c r="I88" s="56" t="s">
        <v>69</v>
      </c>
    </row>
    <row r="89" spans="1:9" ht="23.25" x14ac:dyDescent="0.25">
      <c r="A89" s="190"/>
      <c r="B89" s="52" t="s">
        <v>104</v>
      </c>
      <c r="C89" s="198">
        <f>COUNTIF(C81:C88,"7:00am - 4:00pm")</f>
        <v>3</v>
      </c>
      <c r="D89" s="198">
        <f t="shared" ref="D89:H89" si="0">COUNTIF(D81:D88,"7:00am - 4:00pm")</f>
        <v>3</v>
      </c>
      <c r="E89" s="198">
        <f t="shared" si="0"/>
        <v>3</v>
      </c>
      <c r="F89" s="198">
        <f t="shared" si="0"/>
        <v>3</v>
      </c>
      <c r="G89" s="198">
        <f t="shared" si="0"/>
        <v>3</v>
      </c>
      <c r="H89" s="198">
        <f t="shared" si="0"/>
        <v>3</v>
      </c>
      <c r="I89" s="198">
        <f>COUNTIF(I81:I88,"8:00am - 1:00pm")</f>
        <v>3</v>
      </c>
    </row>
    <row r="90" spans="1:9" ht="23.25" x14ac:dyDescent="0.25">
      <c r="A90" s="190"/>
      <c r="B90" s="52" t="s">
        <v>105</v>
      </c>
      <c r="C90" s="265">
        <f>COUNTIF(C81:C88,"9:00am - 6:00pm")</f>
        <v>3</v>
      </c>
      <c r="D90" s="265">
        <f t="shared" ref="D90:H90" si="1">COUNTIF(D81:D88,"9:00am - 6:00pm")</f>
        <v>3</v>
      </c>
      <c r="E90" s="265">
        <f t="shared" si="1"/>
        <v>3</v>
      </c>
      <c r="F90" s="265">
        <f t="shared" si="1"/>
        <v>3</v>
      </c>
      <c r="G90" s="265">
        <f t="shared" si="1"/>
        <v>4</v>
      </c>
      <c r="H90" s="265">
        <f>COUNTIF(H81:H88,"8:00am - 5:00pm")</f>
        <v>4</v>
      </c>
      <c r="I90" s="265">
        <f t="shared" ref="D90:I90" si="2">COUNTIF(I81:I88,"9:00am - 6:00pm")</f>
        <v>0</v>
      </c>
    </row>
    <row r="91" spans="1:9" ht="23.25" x14ac:dyDescent="0.25">
      <c r="A91" s="190"/>
      <c r="B91" s="52" t="s">
        <v>106</v>
      </c>
      <c r="C91" s="265">
        <f>COUNTIF(C81:C88,"LIBRE")</f>
        <v>1</v>
      </c>
      <c r="D91" s="265">
        <f t="shared" ref="D91:I91" si="3">COUNTIF(D81:D88,"LIBRE")</f>
        <v>1</v>
      </c>
      <c r="E91" s="265">
        <f t="shared" si="3"/>
        <v>1</v>
      </c>
      <c r="F91" s="265">
        <f t="shared" si="3"/>
        <v>1</v>
      </c>
      <c r="G91" s="265">
        <f t="shared" si="3"/>
        <v>0</v>
      </c>
      <c r="H91" s="265">
        <f t="shared" si="3"/>
        <v>0</v>
      </c>
      <c r="I91" s="265">
        <f t="shared" si="3"/>
        <v>5</v>
      </c>
    </row>
  </sheetData>
  <mergeCells count="8">
    <mergeCell ref="B79:I79"/>
    <mergeCell ref="B59:I59"/>
    <mergeCell ref="B73:I73"/>
    <mergeCell ref="B1:I1"/>
    <mergeCell ref="B13:I13"/>
    <mergeCell ref="B27:I27"/>
    <mergeCell ref="B34:I34"/>
    <mergeCell ref="B48:I48"/>
  </mergeCells>
  <conditionalFormatting sqref="C89:H89">
    <cfRule type="cellIs" dxfId="7" priority="2" operator="lessThan">
      <formula>3</formula>
    </cfRule>
  </conditionalFormatting>
  <conditionalFormatting sqref="C90:H90">
    <cfRule type="cellIs" dxfId="6" priority="1" operator="lessThan">
      <formula>3</formula>
    </cfRule>
  </conditionalFormatting>
  <pageMargins left="0.70866141732283472" right="0.70866141732283472" top="0.74803149606299213" bottom="0.74803149606299213" header="0.31496062992125984" footer="0.31496062992125984"/>
  <pageSetup scale="18" orientation="landscape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I59"/>
  <sheetViews>
    <sheetView showGridLines="0" topLeftCell="A47" zoomScale="85" zoomScaleNormal="85" workbookViewId="0">
      <selection activeCell="C47" sqref="C1:C1048576"/>
    </sheetView>
  </sheetViews>
  <sheetFormatPr baseColWidth="10" defaultRowHeight="15" x14ac:dyDescent="0.25"/>
  <cols>
    <col min="1" max="1" width="2" bestFit="1" customWidth="1"/>
    <col min="2" max="2" width="30" customWidth="1"/>
    <col min="3" max="9" width="21.140625" customWidth="1"/>
  </cols>
  <sheetData>
    <row r="1" spans="1:9" ht="61.5" x14ac:dyDescent="0.9">
      <c r="A1" s="310" t="s">
        <v>101</v>
      </c>
      <c r="B1" s="310"/>
      <c r="C1" s="310"/>
      <c r="D1" s="310"/>
      <c r="E1" s="310"/>
      <c r="F1" s="310"/>
      <c r="G1" s="310"/>
      <c r="H1" s="310"/>
      <c r="I1" s="310"/>
    </row>
    <row r="2" spans="1:9" ht="21" x14ac:dyDescent="0.35">
      <c r="B2" s="296" t="s">
        <v>102</v>
      </c>
      <c r="C2" s="296"/>
      <c r="D2" s="296"/>
      <c r="E2" s="296"/>
      <c r="F2" s="296"/>
      <c r="G2" s="296"/>
      <c r="H2" s="296"/>
      <c r="I2" s="296"/>
    </row>
    <row r="3" spans="1:9" ht="83.25" customHeight="1" x14ac:dyDescent="0.25">
      <c r="B3" s="17" t="s">
        <v>38</v>
      </c>
      <c r="C3" s="16" t="s">
        <v>36</v>
      </c>
      <c r="D3" s="16" t="s">
        <v>37</v>
      </c>
      <c r="E3" s="16" t="s">
        <v>39</v>
      </c>
      <c r="F3" s="16" t="s">
        <v>40</v>
      </c>
      <c r="G3" s="16" t="s">
        <v>41</v>
      </c>
      <c r="H3" s="16" t="s">
        <v>42</v>
      </c>
      <c r="I3" s="16" t="s">
        <v>43</v>
      </c>
    </row>
    <row r="4" spans="1:9" x14ac:dyDescent="0.25">
      <c r="A4">
        <v>1</v>
      </c>
      <c r="B4" s="11" t="s">
        <v>44</v>
      </c>
      <c r="C4" s="25" t="s">
        <v>72</v>
      </c>
      <c r="D4" s="25" t="s">
        <v>72</v>
      </c>
      <c r="E4" s="32" t="s">
        <v>69</v>
      </c>
      <c r="F4" s="25" t="s">
        <v>72</v>
      </c>
      <c r="G4" s="25" t="s">
        <v>72</v>
      </c>
      <c r="H4" s="25" t="s">
        <v>74</v>
      </c>
      <c r="I4" s="27" t="s">
        <v>76</v>
      </c>
    </row>
    <row r="5" spans="1:9" x14ac:dyDescent="0.25">
      <c r="A5">
        <v>2</v>
      </c>
      <c r="B5" s="11" t="s">
        <v>45</v>
      </c>
      <c r="C5" s="27" t="s">
        <v>17</v>
      </c>
      <c r="D5" s="27" t="s">
        <v>17</v>
      </c>
      <c r="E5" s="25" t="s">
        <v>72</v>
      </c>
      <c r="F5" s="27" t="s">
        <v>17</v>
      </c>
      <c r="G5" s="27" t="s">
        <v>17</v>
      </c>
      <c r="H5" s="27" t="s">
        <v>17</v>
      </c>
      <c r="I5" s="32" t="s">
        <v>69</v>
      </c>
    </row>
    <row r="6" spans="1:9" x14ac:dyDescent="0.25">
      <c r="A6">
        <v>3</v>
      </c>
      <c r="B6" s="11" t="s">
        <v>46</v>
      </c>
      <c r="C6" s="27" t="s">
        <v>17</v>
      </c>
      <c r="D6" s="32" t="s">
        <v>69</v>
      </c>
      <c r="E6" s="27" t="s">
        <v>17</v>
      </c>
      <c r="F6" s="27" t="s">
        <v>17</v>
      </c>
      <c r="G6" s="27" t="s">
        <v>17</v>
      </c>
      <c r="H6" s="27" t="s">
        <v>17</v>
      </c>
      <c r="I6" s="27" t="s">
        <v>76</v>
      </c>
    </row>
    <row r="7" spans="1:9" x14ac:dyDescent="0.25">
      <c r="A7">
        <v>4</v>
      </c>
      <c r="B7" s="13" t="s">
        <v>98</v>
      </c>
      <c r="C7" s="25" t="s">
        <v>96</v>
      </c>
      <c r="D7" s="25" t="s">
        <v>96</v>
      </c>
      <c r="E7" s="25" t="s">
        <v>96</v>
      </c>
      <c r="F7" s="25" t="s">
        <v>96</v>
      </c>
      <c r="G7" s="25" t="s">
        <v>96</v>
      </c>
      <c r="H7" s="25" t="s">
        <v>97</v>
      </c>
      <c r="I7" s="32" t="s">
        <v>69</v>
      </c>
    </row>
    <row r="8" spans="1:9" x14ac:dyDescent="0.25">
      <c r="B8" s="29" t="s">
        <v>99</v>
      </c>
      <c r="C8" s="29">
        <v>3</v>
      </c>
      <c r="D8" s="29">
        <v>2</v>
      </c>
      <c r="E8" s="29">
        <v>2</v>
      </c>
      <c r="F8" s="29">
        <v>3</v>
      </c>
      <c r="G8" s="29">
        <v>3</v>
      </c>
      <c r="H8" s="29">
        <v>3</v>
      </c>
      <c r="I8" s="29">
        <v>1</v>
      </c>
    </row>
    <row r="9" spans="1:9" x14ac:dyDescent="0.25">
      <c r="B9" s="29" t="s">
        <v>100</v>
      </c>
      <c r="C9" s="29">
        <v>2</v>
      </c>
      <c r="D9" s="29">
        <v>2</v>
      </c>
      <c r="E9" s="29">
        <v>2</v>
      </c>
      <c r="F9" s="29">
        <v>2</v>
      </c>
      <c r="G9" s="29">
        <v>2</v>
      </c>
      <c r="H9" s="29">
        <v>2</v>
      </c>
      <c r="I9" s="29">
        <v>1</v>
      </c>
    </row>
    <row r="15" spans="1:9" ht="16.5" customHeight="1" x14ac:dyDescent="0.35">
      <c r="B15" s="296" t="s">
        <v>103</v>
      </c>
      <c r="C15" s="296"/>
      <c r="D15" s="296"/>
      <c r="E15" s="296"/>
      <c r="F15" s="296"/>
      <c r="G15" s="296"/>
      <c r="H15" s="296"/>
      <c r="I15" s="296"/>
    </row>
    <row r="16" spans="1:9" ht="80.25" customHeight="1" x14ac:dyDescent="0.25">
      <c r="B16" s="17" t="s">
        <v>38</v>
      </c>
      <c r="C16" s="16" t="s">
        <v>84</v>
      </c>
      <c r="D16" s="16" t="s">
        <v>85</v>
      </c>
      <c r="E16" s="16" t="s">
        <v>86</v>
      </c>
      <c r="F16" s="16" t="s">
        <v>87</v>
      </c>
      <c r="G16" s="16" t="s">
        <v>88</v>
      </c>
      <c r="H16" s="16" t="s">
        <v>89</v>
      </c>
      <c r="I16" s="16" t="s">
        <v>90</v>
      </c>
    </row>
    <row r="17" spans="1:9" ht="138" customHeight="1" x14ac:dyDescent="0.25">
      <c r="A17">
        <v>1</v>
      </c>
      <c r="B17" s="35" t="s">
        <v>44</v>
      </c>
      <c r="C17" s="56" t="s">
        <v>69</v>
      </c>
      <c r="D17" s="57" t="s">
        <v>17</v>
      </c>
      <c r="E17" s="57" t="s">
        <v>17</v>
      </c>
      <c r="F17" s="57" t="s">
        <v>17</v>
      </c>
      <c r="G17" s="57" t="s">
        <v>17</v>
      </c>
      <c r="H17" s="57" t="s">
        <v>17</v>
      </c>
      <c r="I17" s="57" t="s">
        <v>76</v>
      </c>
    </row>
    <row r="18" spans="1:9" ht="138" customHeight="1" x14ac:dyDescent="0.25">
      <c r="A18">
        <v>2</v>
      </c>
      <c r="B18" s="35" t="s">
        <v>45</v>
      </c>
      <c r="C18" s="57" t="s">
        <v>17</v>
      </c>
      <c r="D18" s="56" t="s">
        <v>69</v>
      </c>
      <c r="E18" s="58" t="s">
        <v>72</v>
      </c>
      <c r="F18" s="58" t="s">
        <v>72</v>
      </c>
      <c r="G18" s="58" t="s">
        <v>72</v>
      </c>
      <c r="H18" s="58" t="s">
        <v>74</v>
      </c>
      <c r="I18" s="57" t="s">
        <v>76</v>
      </c>
    </row>
    <row r="19" spans="1:9" ht="138" customHeight="1" x14ac:dyDescent="0.25">
      <c r="A19">
        <v>3</v>
      </c>
      <c r="B19" s="11" t="s">
        <v>46</v>
      </c>
      <c r="C19" s="58" t="s">
        <v>72</v>
      </c>
      <c r="D19" s="58" t="s">
        <v>72</v>
      </c>
      <c r="E19" s="58" t="s">
        <v>72</v>
      </c>
      <c r="F19" s="58" t="s">
        <v>72</v>
      </c>
      <c r="G19" s="58" t="s">
        <v>72</v>
      </c>
      <c r="H19" s="58" t="s">
        <v>74</v>
      </c>
      <c r="I19" s="56" t="s">
        <v>69</v>
      </c>
    </row>
    <row r="20" spans="1:9" ht="138" customHeight="1" x14ac:dyDescent="0.25">
      <c r="A20">
        <v>4</v>
      </c>
      <c r="B20" s="13" t="s">
        <v>95</v>
      </c>
      <c r="C20" s="58" t="s">
        <v>96</v>
      </c>
      <c r="D20" s="58" t="s">
        <v>96</v>
      </c>
      <c r="E20" s="58" t="s">
        <v>96</v>
      </c>
      <c r="F20" s="58" t="s">
        <v>96</v>
      </c>
      <c r="G20" s="58" t="s">
        <v>96</v>
      </c>
      <c r="H20" s="58" t="s">
        <v>97</v>
      </c>
      <c r="I20" s="56" t="s">
        <v>69</v>
      </c>
    </row>
    <row r="21" spans="1:9" x14ac:dyDescent="0.25">
      <c r="B21" s="52" t="s">
        <v>99</v>
      </c>
      <c r="C21" s="52">
        <v>2</v>
      </c>
      <c r="D21" s="52">
        <v>2</v>
      </c>
      <c r="E21" s="52">
        <v>2</v>
      </c>
      <c r="F21" s="52">
        <v>2</v>
      </c>
      <c r="G21" s="52">
        <v>2</v>
      </c>
      <c r="H21" s="52">
        <v>2</v>
      </c>
      <c r="I21" s="52">
        <v>1</v>
      </c>
    </row>
    <row r="22" spans="1:9" x14ac:dyDescent="0.25">
      <c r="B22" s="52" t="s">
        <v>100</v>
      </c>
      <c r="C22" s="52">
        <v>2</v>
      </c>
      <c r="D22" s="52">
        <v>2</v>
      </c>
      <c r="E22" s="52">
        <v>3</v>
      </c>
      <c r="F22" s="52">
        <v>3</v>
      </c>
      <c r="G22" s="52">
        <v>3</v>
      </c>
      <c r="H22" s="52">
        <v>3</v>
      </c>
      <c r="I22" s="52">
        <v>1</v>
      </c>
    </row>
    <row r="23" spans="1:9" x14ac:dyDescent="0.25">
      <c r="B23" s="52" t="s">
        <v>106</v>
      </c>
      <c r="C23" s="52">
        <v>1</v>
      </c>
      <c r="D23" s="52">
        <v>1</v>
      </c>
      <c r="E23" s="52">
        <v>0</v>
      </c>
      <c r="F23" s="52">
        <v>0</v>
      </c>
      <c r="G23" s="52">
        <v>0</v>
      </c>
      <c r="H23" s="52">
        <v>0</v>
      </c>
      <c r="I23" s="52">
        <v>2</v>
      </c>
    </row>
    <row r="24" spans="1:9" ht="21" x14ac:dyDescent="0.35">
      <c r="B24" s="267" t="s">
        <v>142</v>
      </c>
      <c r="C24" s="267"/>
      <c r="D24" s="267"/>
      <c r="E24" s="267"/>
      <c r="F24" s="267"/>
      <c r="G24" s="267"/>
      <c r="H24" s="267"/>
      <c r="I24" s="267"/>
    </row>
    <row r="33" spans="1:9" ht="21" x14ac:dyDescent="0.35">
      <c r="B33" s="296" t="s">
        <v>198</v>
      </c>
      <c r="C33" s="296"/>
      <c r="D33" s="296"/>
      <c r="E33" s="296"/>
      <c r="F33" s="296"/>
      <c r="G33" s="296"/>
      <c r="H33" s="296"/>
      <c r="I33" s="296"/>
    </row>
    <row r="34" spans="1:9" ht="83.25" customHeight="1" x14ac:dyDescent="0.25">
      <c r="B34" s="61" t="s">
        <v>38</v>
      </c>
      <c r="C34" s="244" t="s">
        <v>187</v>
      </c>
      <c r="D34" s="244" t="s">
        <v>188</v>
      </c>
      <c r="E34" s="244" t="s">
        <v>189</v>
      </c>
      <c r="F34" s="244" t="s">
        <v>190</v>
      </c>
      <c r="G34" s="244" t="s">
        <v>191</v>
      </c>
      <c r="H34" s="244" t="s">
        <v>192</v>
      </c>
      <c r="I34" s="118" t="s">
        <v>193</v>
      </c>
    </row>
    <row r="35" spans="1:9" ht="87" customHeight="1" x14ac:dyDescent="0.25">
      <c r="A35" s="1">
        <v>1</v>
      </c>
      <c r="B35" s="11" t="s">
        <v>44</v>
      </c>
      <c r="C35" s="57" t="s">
        <v>17</v>
      </c>
      <c r="D35" s="57" t="s">
        <v>17</v>
      </c>
      <c r="E35" s="57" t="s">
        <v>17</v>
      </c>
      <c r="F35" s="57" t="s">
        <v>17</v>
      </c>
      <c r="G35" s="57" t="s">
        <v>17</v>
      </c>
      <c r="H35" s="57" t="s">
        <v>17</v>
      </c>
      <c r="I35" s="56" t="s">
        <v>69</v>
      </c>
    </row>
    <row r="36" spans="1:9" ht="87" customHeight="1" x14ac:dyDescent="0.25">
      <c r="A36" s="1">
        <v>2</v>
      </c>
      <c r="B36" s="11" t="s">
        <v>45</v>
      </c>
      <c r="C36" s="58" t="s">
        <v>72</v>
      </c>
      <c r="D36" s="58" t="s">
        <v>72</v>
      </c>
      <c r="E36" s="58" t="s">
        <v>72</v>
      </c>
      <c r="F36" s="58" t="s">
        <v>72</v>
      </c>
      <c r="G36" s="58" t="s">
        <v>72</v>
      </c>
      <c r="H36" s="58" t="s">
        <v>74</v>
      </c>
      <c r="I36" s="56" t="s">
        <v>69</v>
      </c>
    </row>
    <row r="37" spans="1:9" ht="87" customHeight="1" x14ac:dyDescent="0.25">
      <c r="A37" s="1">
        <v>3</v>
      </c>
      <c r="B37" s="11" t="s">
        <v>46</v>
      </c>
      <c r="C37" s="56" t="s">
        <v>69</v>
      </c>
      <c r="D37" s="58" t="s">
        <v>72</v>
      </c>
      <c r="E37" s="58" t="s">
        <v>72</v>
      </c>
      <c r="F37" s="58" t="s">
        <v>72</v>
      </c>
      <c r="G37" s="58" t="s">
        <v>72</v>
      </c>
      <c r="H37" s="58" t="s">
        <v>74</v>
      </c>
      <c r="I37" s="57" t="s">
        <v>76</v>
      </c>
    </row>
    <row r="38" spans="1:9" ht="87" customHeight="1" x14ac:dyDescent="0.25">
      <c r="A38" s="1">
        <v>4</v>
      </c>
      <c r="B38" s="11" t="s">
        <v>157</v>
      </c>
      <c r="C38" s="58" t="s">
        <v>72</v>
      </c>
      <c r="D38" s="57" t="s">
        <v>17</v>
      </c>
      <c r="E38" s="250" t="s">
        <v>74</v>
      </c>
      <c r="F38" s="250" t="s">
        <v>74</v>
      </c>
      <c r="G38" s="250" t="s">
        <v>74</v>
      </c>
      <c r="H38" s="250" t="s">
        <v>74</v>
      </c>
      <c r="I38" s="56" t="s">
        <v>69</v>
      </c>
    </row>
    <row r="39" spans="1:9" s="190" customFormat="1" ht="87" customHeight="1" x14ac:dyDescent="0.25">
      <c r="A39" s="191">
        <v>5</v>
      </c>
      <c r="B39" s="11" t="s">
        <v>197</v>
      </c>
      <c r="C39" s="57" t="s">
        <v>17</v>
      </c>
      <c r="D39" s="56" t="s">
        <v>69</v>
      </c>
      <c r="E39" s="57" t="s">
        <v>17</v>
      </c>
      <c r="F39" s="57" t="s">
        <v>17</v>
      </c>
      <c r="G39" s="57" t="s">
        <v>17</v>
      </c>
      <c r="H39" s="57" t="s">
        <v>17</v>
      </c>
      <c r="I39" s="57" t="s">
        <v>76</v>
      </c>
    </row>
    <row r="40" spans="1:9" ht="87" customHeight="1" x14ac:dyDescent="0.25">
      <c r="A40" s="191">
        <v>6</v>
      </c>
      <c r="B40" s="13" t="s">
        <v>95</v>
      </c>
      <c r="C40" s="57" t="s">
        <v>17</v>
      </c>
      <c r="D40" s="57" t="s">
        <v>17</v>
      </c>
      <c r="E40" s="57" t="s">
        <v>17</v>
      </c>
      <c r="F40" s="57" t="s">
        <v>17</v>
      </c>
      <c r="G40" s="57" t="s">
        <v>17</v>
      </c>
      <c r="H40" s="57" t="s">
        <v>17</v>
      </c>
      <c r="I40" s="56" t="s">
        <v>69</v>
      </c>
    </row>
    <row r="41" spans="1:9" ht="21.75" customHeight="1" x14ac:dyDescent="0.25">
      <c r="B41" s="52" t="s">
        <v>99</v>
      </c>
      <c r="C41" s="52">
        <v>2</v>
      </c>
      <c r="D41" s="52">
        <v>3</v>
      </c>
      <c r="E41" s="52">
        <v>2</v>
      </c>
      <c r="F41" s="52">
        <v>3</v>
      </c>
      <c r="G41" s="52">
        <v>3</v>
      </c>
      <c r="H41" s="52">
        <v>3</v>
      </c>
      <c r="I41" s="52">
        <v>1</v>
      </c>
    </row>
    <row r="42" spans="1:9" ht="21.75" customHeight="1" x14ac:dyDescent="0.25">
      <c r="B42" s="52" t="s">
        <v>100</v>
      </c>
      <c r="C42" s="52">
        <v>2</v>
      </c>
      <c r="D42" s="52">
        <v>2</v>
      </c>
      <c r="E42" s="52">
        <v>2</v>
      </c>
      <c r="F42" s="52">
        <v>2</v>
      </c>
      <c r="G42" s="52">
        <v>2</v>
      </c>
      <c r="H42" s="52">
        <v>2</v>
      </c>
      <c r="I42" s="52">
        <v>1</v>
      </c>
    </row>
    <row r="43" spans="1:9" ht="21.75" customHeight="1" x14ac:dyDescent="0.25">
      <c r="B43" s="52" t="s">
        <v>106</v>
      </c>
      <c r="C43" s="52">
        <v>1</v>
      </c>
      <c r="D43" s="52">
        <v>0</v>
      </c>
      <c r="E43" s="52">
        <v>1</v>
      </c>
      <c r="F43" s="52">
        <v>0</v>
      </c>
      <c r="G43" s="52">
        <v>0</v>
      </c>
      <c r="H43" s="52">
        <v>0</v>
      </c>
      <c r="I43" s="52">
        <v>3</v>
      </c>
    </row>
    <row r="44" spans="1:9" ht="30" customHeight="1" x14ac:dyDescent="0.35">
      <c r="B44" s="267" t="s">
        <v>142</v>
      </c>
      <c r="C44" s="267"/>
      <c r="D44" s="267"/>
      <c r="E44" s="267"/>
      <c r="F44" s="267"/>
      <c r="G44" s="267"/>
      <c r="H44" s="267"/>
      <c r="I44" s="267"/>
    </row>
    <row r="48" spans="1:9" ht="21" x14ac:dyDescent="0.35">
      <c r="A48" s="190"/>
      <c r="B48" s="296" t="s">
        <v>213</v>
      </c>
      <c r="C48" s="296"/>
      <c r="D48" s="296"/>
      <c r="E48" s="296"/>
      <c r="F48" s="296"/>
      <c r="G48" s="296"/>
      <c r="H48" s="296"/>
      <c r="I48" s="296"/>
    </row>
    <row r="49" spans="1:9" ht="121.5" customHeight="1" x14ac:dyDescent="0.25">
      <c r="A49" s="190"/>
      <c r="B49" s="61" t="s">
        <v>38</v>
      </c>
      <c r="C49" s="214" t="s">
        <v>205</v>
      </c>
      <c r="D49" s="214" t="s">
        <v>206</v>
      </c>
      <c r="E49" s="214" t="s">
        <v>207</v>
      </c>
      <c r="F49" s="214" t="s">
        <v>208</v>
      </c>
      <c r="G49" s="214" t="s">
        <v>209</v>
      </c>
      <c r="H49" s="214" t="s">
        <v>210</v>
      </c>
      <c r="I49" s="210" t="s">
        <v>211</v>
      </c>
    </row>
    <row r="50" spans="1:9" x14ac:dyDescent="0.25">
      <c r="A50" s="191">
        <v>1</v>
      </c>
      <c r="B50" s="35" t="s">
        <v>44</v>
      </c>
      <c r="C50" s="56" t="s">
        <v>69</v>
      </c>
      <c r="D50" s="58" t="s">
        <v>72</v>
      </c>
      <c r="E50" s="58" t="s">
        <v>72</v>
      </c>
      <c r="F50" s="58" t="s">
        <v>72</v>
      </c>
      <c r="G50" s="58" t="s">
        <v>72</v>
      </c>
      <c r="H50" s="58" t="s">
        <v>74</v>
      </c>
      <c r="I50" s="57" t="s">
        <v>76</v>
      </c>
    </row>
    <row r="51" spans="1:9" x14ac:dyDescent="0.25">
      <c r="A51" s="191">
        <v>2</v>
      </c>
      <c r="B51" s="11" t="s">
        <v>45</v>
      </c>
      <c r="C51" s="58" t="s">
        <v>72</v>
      </c>
      <c r="D51" s="57" t="s">
        <v>17</v>
      </c>
      <c r="E51" s="250" t="s">
        <v>74</v>
      </c>
      <c r="F51" s="250" t="s">
        <v>74</v>
      </c>
      <c r="G51" s="250" t="s">
        <v>74</v>
      </c>
      <c r="H51" s="250" t="s">
        <v>74</v>
      </c>
      <c r="I51" s="56" t="s">
        <v>69</v>
      </c>
    </row>
    <row r="52" spans="1:9" x14ac:dyDescent="0.25">
      <c r="A52" s="191">
        <v>3</v>
      </c>
      <c r="B52" s="11" t="s">
        <v>46</v>
      </c>
      <c r="C52" s="57" t="s">
        <v>17</v>
      </c>
      <c r="D52" s="57" t="s">
        <v>17</v>
      </c>
      <c r="E52" s="57" t="s">
        <v>17</v>
      </c>
      <c r="F52" s="57" t="s">
        <v>17</v>
      </c>
      <c r="G52" s="57" t="s">
        <v>17</v>
      </c>
      <c r="H52" s="57" t="s">
        <v>17</v>
      </c>
      <c r="I52" s="56" t="s">
        <v>69</v>
      </c>
    </row>
    <row r="53" spans="1:9" x14ac:dyDescent="0.25">
      <c r="A53" s="191">
        <v>4</v>
      </c>
      <c r="B53" s="35" t="s">
        <v>157</v>
      </c>
      <c r="C53" s="57" t="s">
        <v>17</v>
      </c>
      <c r="D53" s="56" t="s">
        <v>69</v>
      </c>
      <c r="E53" s="57" t="s">
        <v>17</v>
      </c>
      <c r="F53" s="57" t="s">
        <v>17</v>
      </c>
      <c r="G53" s="57" t="s">
        <v>17</v>
      </c>
      <c r="H53" s="57" t="s">
        <v>17</v>
      </c>
      <c r="I53" s="57" t="s">
        <v>76</v>
      </c>
    </row>
    <row r="54" spans="1:9" x14ac:dyDescent="0.25">
      <c r="A54" s="191">
        <v>5</v>
      </c>
      <c r="B54" s="11" t="s">
        <v>197</v>
      </c>
      <c r="C54" s="58" t="s">
        <v>72</v>
      </c>
      <c r="D54" s="58" t="s">
        <v>72</v>
      </c>
      <c r="E54" s="58" t="s">
        <v>72</v>
      </c>
      <c r="F54" s="58" t="s">
        <v>72</v>
      </c>
      <c r="G54" s="58" t="s">
        <v>72</v>
      </c>
      <c r="H54" s="58" t="s">
        <v>74</v>
      </c>
      <c r="I54" s="56" t="s">
        <v>69</v>
      </c>
    </row>
    <row r="55" spans="1:9" x14ac:dyDescent="0.25">
      <c r="A55" s="191">
        <v>6</v>
      </c>
      <c r="B55" s="13" t="s">
        <v>95</v>
      </c>
      <c r="C55" s="314" t="s">
        <v>17</v>
      </c>
      <c r="D55" s="314" t="s">
        <v>17</v>
      </c>
      <c r="E55" s="314" t="s">
        <v>17</v>
      </c>
      <c r="F55" s="314" t="s">
        <v>17</v>
      </c>
      <c r="G55" s="314" t="s">
        <v>17</v>
      </c>
      <c r="H55" s="314" t="s">
        <v>17</v>
      </c>
      <c r="I55" s="56" t="s">
        <v>69</v>
      </c>
    </row>
    <row r="56" spans="1:9" x14ac:dyDescent="0.25">
      <c r="A56" s="190"/>
      <c r="B56" s="52" t="s">
        <v>99</v>
      </c>
      <c r="C56" s="52">
        <v>2</v>
      </c>
      <c r="D56" s="52">
        <v>3</v>
      </c>
      <c r="E56" s="52">
        <v>2</v>
      </c>
      <c r="F56" s="52">
        <v>3</v>
      </c>
      <c r="G56" s="52">
        <v>3</v>
      </c>
      <c r="H56" s="52">
        <v>3</v>
      </c>
      <c r="I56" s="52">
        <v>1</v>
      </c>
    </row>
    <row r="57" spans="1:9" x14ac:dyDescent="0.25">
      <c r="A57" s="190"/>
      <c r="B57" s="52" t="s">
        <v>100</v>
      </c>
      <c r="C57" s="52">
        <v>2</v>
      </c>
      <c r="D57" s="52">
        <v>2</v>
      </c>
      <c r="E57" s="52">
        <v>2</v>
      </c>
      <c r="F57" s="52">
        <v>2</v>
      </c>
      <c r="G57" s="52">
        <v>2</v>
      </c>
      <c r="H57" s="52">
        <v>2</v>
      </c>
      <c r="I57" s="52">
        <v>1</v>
      </c>
    </row>
    <row r="58" spans="1:9" x14ac:dyDescent="0.25">
      <c r="A58" s="190"/>
      <c r="B58" s="52" t="s">
        <v>106</v>
      </c>
      <c r="C58" s="52">
        <v>1</v>
      </c>
      <c r="D58" s="52">
        <v>0</v>
      </c>
      <c r="E58" s="52">
        <v>1</v>
      </c>
      <c r="F58" s="52">
        <v>0</v>
      </c>
      <c r="G58" s="52">
        <v>0</v>
      </c>
      <c r="H58" s="52">
        <v>0</v>
      </c>
      <c r="I58" s="52">
        <v>3</v>
      </c>
    </row>
    <row r="59" spans="1:9" ht="21" x14ac:dyDescent="0.35">
      <c r="A59" s="190"/>
      <c r="B59" s="267" t="s">
        <v>142</v>
      </c>
      <c r="C59" s="267"/>
      <c r="D59" s="267"/>
      <c r="E59" s="267"/>
      <c r="F59" s="267"/>
      <c r="G59" s="267"/>
      <c r="H59" s="267"/>
      <c r="I59" s="267"/>
    </row>
  </sheetData>
  <mergeCells count="8">
    <mergeCell ref="B48:I48"/>
    <mergeCell ref="B59:I59"/>
    <mergeCell ref="B44:I44"/>
    <mergeCell ref="B2:I2"/>
    <mergeCell ref="B15:I15"/>
    <mergeCell ref="A1:I1"/>
    <mergeCell ref="B24:I24"/>
    <mergeCell ref="B33:I33"/>
  </mergeCells>
  <pageMargins left="0.7" right="0.7" top="0.75" bottom="0.75" header="0.3" footer="0.3"/>
  <pageSetup scale="27" orientation="landscape" r:id="rId1"/>
  <legacy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N106"/>
  <sheetViews>
    <sheetView showGridLines="0" topLeftCell="A92" zoomScaleNormal="100" workbookViewId="0">
      <selection activeCell="D104" sqref="D104"/>
    </sheetView>
  </sheetViews>
  <sheetFormatPr baseColWidth="10" defaultRowHeight="15" x14ac:dyDescent="0.25"/>
  <cols>
    <col min="1" max="1" width="2" bestFit="1" customWidth="1"/>
    <col min="2" max="2" width="19.42578125" bestFit="1" customWidth="1"/>
    <col min="3" max="8" width="22.85546875" bestFit="1" customWidth="1"/>
    <col min="9" max="9" width="23.42578125" bestFit="1" customWidth="1"/>
  </cols>
  <sheetData>
    <row r="1" spans="1:14" ht="23.25" x14ac:dyDescent="0.35">
      <c r="B1" s="311" t="s">
        <v>18</v>
      </c>
      <c r="C1" s="311"/>
      <c r="D1" s="311"/>
      <c r="E1" s="311"/>
      <c r="F1" s="311"/>
      <c r="G1" s="311"/>
      <c r="H1" s="311"/>
      <c r="I1" s="311"/>
    </row>
    <row r="2" spans="1:14" ht="72.75" customHeight="1" x14ac:dyDescent="0.25">
      <c r="B2" s="22" t="s">
        <v>12</v>
      </c>
      <c r="C2" s="22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22" t="s">
        <v>5</v>
      </c>
      <c r="I2" s="22" t="s">
        <v>6</v>
      </c>
      <c r="M2" s="1" t="s">
        <v>68</v>
      </c>
      <c r="N2" s="1"/>
    </row>
    <row r="3" spans="1:14" ht="21" x14ac:dyDescent="0.35">
      <c r="A3" s="1">
        <v>1</v>
      </c>
      <c r="B3" s="3" t="s">
        <v>7</v>
      </c>
      <c r="C3" s="19" t="s">
        <v>15</v>
      </c>
      <c r="D3" s="19" t="s">
        <v>15</v>
      </c>
      <c r="E3" s="19" t="s">
        <v>15</v>
      </c>
      <c r="F3" s="19" t="s">
        <v>15</v>
      </c>
      <c r="G3" s="19" t="s">
        <v>15</v>
      </c>
      <c r="H3" s="19" t="s">
        <v>16</v>
      </c>
      <c r="I3" s="5" t="s">
        <v>14</v>
      </c>
      <c r="M3" s="1" t="s">
        <v>69</v>
      </c>
      <c r="N3" s="2"/>
    </row>
    <row r="4" spans="1:14" ht="21" x14ac:dyDescent="0.35">
      <c r="A4" s="1">
        <v>2</v>
      </c>
      <c r="B4" s="3" t="s">
        <v>8</v>
      </c>
      <c r="C4" s="19" t="s">
        <v>15</v>
      </c>
      <c r="D4" s="19" t="s">
        <v>15</v>
      </c>
      <c r="E4" s="19" t="s">
        <v>15</v>
      </c>
      <c r="F4" s="19" t="s">
        <v>15</v>
      </c>
      <c r="G4" s="19" t="s">
        <v>15</v>
      </c>
      <c r="H4" s="19" t="s">
        <v>16</v>
      </c>
      <c r="I4" s="5" t="s">
        <v>14</v>
      </c>
      <c r="M4" s="1" t="s">
        <v>70</v>
      </c>
      <c r="N4" s="20"/>
    </row>
    <row r="5" spans="1:14" ht="21" x14ac:dyDescent="0.35">
      <c r="A5" s="1">
        <v>3</v>
      </c>
      <c r="B5" s="3" t="s">
        <v>9</v>
      </c>
      <c r="C5" s="18" t="s">
        <v>17</v>
      </c>
      <c r="D5" s="18" t="s">
        <v>17</v>
      </c>
      <c r="E5" s="18" t="s">
        <v>17</v>
      </c>
      <c r="F5" s="18" t="s">
        <v>17</v>
      </c>
      <c r="G5" s="18" t="s">
        <v>17</v>
      </c>
      <c r="H5" s="18" t="s">
        <v>17</v>
      </c>
      <c r="I5" s="5" t="s">
        <v>14</v>
      </c>
      <c r="M5" s="1" t="s">
        <v>71</v>
      </c>
      <c r="N5" s="21"/>
    </row>
    <row r="6" spans="1:14" ht="21" x14ac:dyDescent="0.35">
      <c r="A6" s="1">
        <v>4</v>
      </c>
      <c r="B6" s="3" t="s">
        <v>10</v>
      </c>
      <c r="C6" s="18" t="s">
        <v>17</v>
      </c>
      <c r="D6" s="18" t="s">
        <v>17</v>
      </c>
      <c r="E6" s="18" t="s">
        <v>17</v>
      </c>
      <c r="F6" s="6" t="s">
        <v>14</v>
      </c>
      <c r="G6" s="19" t="s">
        <v>15</v>
      </c>
      <c r="H6" s="18" t="s">
        <v>17</v>
      </c>
      <c r="I6" s="7" t="s">
        <v>13</v>
      </c>
    </row>
    <row r="7" spans="1:14" ht="21" x14ac:dyDescent="0.35">
      <c r="A7" s="1">
        <v>5</v>
      </c>
      <c r="B7" s="3" t="s">
        <v>11</v>
      </c>
      <c r="C7" s="19" t="s">
        <v>15</v>
      </c>
      <c r="D7" s="19" t="s">
        <v>15</v>
      </c>
      <c r="E7" s="19" t="s">
        <v>15</v>
      </c>
      <c r="F7" s="19" t="s">
        <v>15</v>
      </c>
      <c r="G7" s="6" t="s">
        <v>14</v>
      </c>
      <c r="H7" s="19" t="s">
        <v>16</v>
      </c>
      <c r="I7" s="7" t="s">
        <v>13</v>
      </c>
    </row>
    <row r="10" spans="1:14" ht="23.25" x14ac:dyDescent="0.35">
      <c r="B10" s="311" t="s">
        <v>20</v>
      </c>
      <c r="C10" s="311"/>
      <c r="D10" s="311"/>
      <c r="E10" s="311"/>
      <c r="F10" s="311"/>
      <c r="G10" s="311"/>
      <c r="H10" s="311"/>
      <c r="I10" s="311"/>
    </row>
    <row r="11" spans="1:14" ht="90" customHeight="1" x14ac:dyDescent="0.25">
      <c r="B11" s="22" t="s">
        <v>12</v>
      </c>
      <c r="C11" s="22" t="s">
        <v>0</v>
      </c>
      <c r="D11" s="22" t="s">
        <v>1</v>
      </c>
      <c r="E11" s="22" t="s">
        <v>2</v>
      </c>
      <c r="F11" s="22" t="s">
        <v>3</v>
      </c>
      <c r="G11" s="22" t="s">
        <v>4</v>
      </c>
      <c r="H11" s="22" t="s">
        <v>5</v>
      </c>
      <c r="I11" s="22" t="s">
        <v>6</v>
      </c>
    </row>
    <row r="12" spans="1:14" ht="80.25" customHeight="1" x14ac:dyDescent="0.35">
      <c r="A12" s="1">
        <v>1</v>
      </c>
      <c r="B12" s="6" t="s">
        <v>7</v>
      </c>
      <c r="C12" s="106" t="s">
        <v>15</v>
      </c>
      <c r="D12" s="106" t="s">
        <v>15</v>
      </c>
      <c r="E12" s="106" t="s">
        <v>15</v>
      </c>
      <c r="F12" s="56" t="s">
        <v>14</v>
      </c>
      <c r="G12" s="106" t="s">
        <v>15</v>
      </c>
      <c r="H12" s="106" t="s">
        <v>16</v>
      </c>
      <c r="I12" s="107" t="s">
        <v>13</v>
      </c>
    </row>
    <row r="13" spans="1:14" ht="80.25" customHeight="1" x14ac:dyDescent="0.35">
      <c r="A13" s="1">
        <v>2</v>
      </c>
      <c r="B13" s="3" t="s">
        <v>8</v>
      </c>
      <c r="C13" s="108" t="s">
        <v>17</v>
      </c>
      <c r="D13" s="108" t="s">
        <v>17</v>
      </c>
      <c r="E13" s="108" t="s">
        <v>17</v>
      </c>
      <c r="F13" s="108" t="s">
        <v>17</v>
      </c>
      <c r="G13" s="108" t="s">
        <v>17</v>
      </c>
      <c r="H13" s="108" t="s">
        <v>17</v>
      </c>
      <c r="I13" s="56" t="s">
        <v>14</v>
      </c>
    </row>
    <row r="14" spans="1:14" ht="80.25" customHeight="1" x14ac:dyDescent="0.35">
      <c r="A14" s="1">
        <v>3</v>
      </c>
      <c r="B14" s="6" t="s">
        <v>9</v>
      </c>
      <c r="C14" s="108" t="s">
        <v>17</v>
      </c>
      <c r="D14" s="108" t="s">
        <v>17</v>
      </c>
      <c r="E14" s="108" t="s">
        <v>17</v>
      </c>
      <c r="F14" s="106" t="s">
        <v>15</v>
      </c>
      <c r="G14" s="56" t="s">
        <v>14</v>
      </c>
      <c r="H14" s="108" t="s">
        <v>17</v>
      </c>
      <c r="I14" s="107" t="s">
        <v>13</v>
      </c>
    </row>
    <row r="15" spans="1:14" ht="80.25" customHeight="1" x14ac:dyDescent="0.35">
      <c r="A15" s="1">
        <v>4</v>
      </c>
      <c r="B15" s="3" t="s">
        <v>10</v>
      </c>
      <c r="C15" s="106" t="s">
        <v>15</v>
      </c>
      <c r="D15" s="106" t="s">
        <v>15</v>
      </c>
      <c r="E15" s="106" t="s">
        <v>15</v>
      </c>
      <c r="F15" s="106" t="s">
        <v>15</v>
      </c>
      <c r="G15" s="106" t="s">
        <v>15</v>
      </c>
      <c r="H15" s="106" t="s">
        <v>16</v>
      </c>
      <c r="I15" s="56" t="s">
        <v>14</v>
      </c>
    </row>
    <row r="16" spans="1:14" ht="80.25" customHeight="1" x14ac:dyDescent="0.35">
      <c r="A16" s="1">
        <v>5</v>
      </c>
      <c r="B16" s="3" t="s">
        <v>11</v>
      </c>
      <c r="C16" s="106" t="s">
        <v>15</v>
      </c>
      <c r="D16" s="106" t="s">
        <v>15</v>
      </c>
      <c r="E16" s="106" t="s">
        <v>15</v>
      </c>
      <c r="F16" s="106" t="s">
        <v>15</v>
      </c>
      <c r="G16" s="106" t="s">
        <v>15</v>
      </c>
      <c r="H16" s="106" t="s">
        <v>16</v>
      </c>
      <c r="I16" s="56" t="s">
        <v>14</v>
      </c>
    </row>
    <row r="17" spans="2:9" ht="21" x14ac:dyDescent="0.35">
      <c r="B17" s="267" t="s">
        <v>142</v>
      </c>
      <c r="C17" s="267"/>
      <c r="D17" s="267"/>
      <c r="E17" s="267"/>
      <c r="F17" s="267"/>
      <c r="G17" s="267"/>
      <c r="H17" s="267"/>
      <c r="I17" s="267"/>
    </row>
    <row r="21" spans="2:9" ht="15" hidden="1" customHeight="1" x14ac:dyDescent="0.25"/>
    <row r="22" spans="2:9" ht="15" hidden="1" customHeight="1" x14ac:dyDescent="0.25"/>
    <row r="23" spans="2:9" ht="15" hidden="1" customHeight="1" x14ac:dyDescent="0.25"/>
    <row r="24" spans="2:9" ht="15" hidden="1" customHeight="1" x14ac:dyDescent="0.25"/>
    <row r="25" spans="2:9" ht="23.25" hidden="1" customHeight="1" x14ac:dyDescent="0.35">
      <c r="B25" s="311" t="s">
        <v>19</v>
      </c>
      <c r="C25" s="311"/>
      <c r="D25" s="311"/>
      <c r="E25" s="311"/>
      <c r="F25" s="311"/>
      <c r="G25" s="311"/>
      <c r="H25" s="311"/>
      <c r="I25" s="311"/>
    </row>
    <row r="26" spans="2:9" ht="21" hidden="1" customHeight="1" x14ac:dyDescent="0.35">
      <c r="B26" s="3" t="s">
        <v>12</v>
      </c>
      <c r="C26" s="4" t="s">
        <v>0</v>
      </c>
      <c r="D26" s="4" t="s">
        <v>1</v>
      </c>
      <c r="E26" s="4" t="s">
        <v>2</v>
      </c>
      <c r="F26" s="4" t="s">
        <v>3</v>
      </c>
      <c r="G26" s="4" t="s">
        <v>4</v>
      </c>
      <c r="H26" s="4" t="s">
        <v>5</v>
      </c>
      <c r="I26" s="4" t="s">
        <v>6</v>
      </c>
    </row>
    <row r="27" spans="2:9" ht="21" hidden="1" customHeight="1" x14ac:dyDescent="0.35">
      <c r="B27" s="3" t="s">
        <v>7</v>
      </c>
      <c r="C27" s="3" t="s">
        <v>15</v>
      </c>
      <c r="D27" s="3" t="s">
        <v>15</v>
      </c>
      <c r="E27" s="5" t="s">
        <v>14</v>
      </c>
      <c r="F27" s="3" t="s">
        <v>15</v>
      </c>
      <c r="G27" s="3" t="s">
        <v>15</v>
      </c>
      <c r="H27" s="3" t="s">
        <v>16</v>
      </c>
      <c r="I27" s="7" t="s">
        <v>13</v>
      </c>
    </row>
    <row r="28" spans="2:9" ht="21" hidden="1" x14ac:dyDescent="0.35">
      <c r="B28" s="3" t="s">
        <v>8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16</v>
      </c>
      <c r="I28" s="5" t="s">
        <v>14</v>
      </c>
    </row>
    <row r="29" spans="2:9" ht="21" hidden="1" x14ac:dyDescent="0.35">
      <c r="B29" s="3" t="s">
        <v>9</v>
      </c>
      <c r="C29" s="3" t="s">
        <v>17</v>
      </c>
      <c r="D29" s="3" t="s">
        <v>17</v>
      </c>
      <c r="E29" s="3" t="s">
        <v>15</v>
      </c>
      <c r="F29" s="3" t="s">
        <v>17</v>
      </c>
      <c r="G29" s="3" t="s">
        <v>15</v>
      </c>
      <c r="H29" s="3" t="s">
        <v>17</v>
      </c>
      <c r="I29" s="5" t="s">
        <v>14</v>
      </c>
    </row>
    <row r="30" spans="2:9" ht="21" hidden="1" x14ac:dyDescent="0.35">
      <c r="B30" s="3" t="s">
        <v>10</v>
      </c>
      <c r="C30" s="3" t="s">
        <v>17</v>
      </c>
      <c r="D30" s="3" t="s">
        <v>17</v>
      </c>
      <c r="E30" s="3" t="s">
        <v>17</v>
      </c>
      <c r="F30" s="5" t="s">
        <v>14</v>
      </c>
      <c r="G30" s="3" t="s">
        <v>17</v>
      </c>
      <c r="H30" s="3" t="s">
        <v>17</v>
      </c>
      <c r="I30" s="7" t="s">
        <v>13</v>
      </c>
    </row>
    <row r="31" spans="2:9" ht="21" hidden="1" x14ac:dyDescent="0.35">
      <c r="B31" s="3" t="s">
        <v>11</v>
      </c>
      <c r="C31" s="3" t="s">
        <v>15</v>
      </c>
      <c r="D31" s="3" t="s">
        <v>15</v>
      </c>
      <c r="E31" s="3" t="s">
        <v>15</v>
      </c>
      <c r="F31" s="3" t="s">
        <v>15</v>
      </c>
      <c r="G31" s="5" t="s">
        <v>14</v>
      </c>
      <c r="H31" s="3" t="s">
        <v>16</v>
      </c>
      <c r="I31" s="7" t="s">
        <v>13</v>
      </c>
    </row>
    <row r="32" spans="2:9" hidden="1" x14ac:dyDescent="0.25"/>
    <row r="33" spans="2:9" hidden="1" x14ac:dyDescent="0.25"/>
    <row r="34" spans="2:9" hidden="1" x14ac:dyDescent="0.25"/>
    <row r="35" spans="2:9" hidden="1" x14ac:dyDescent="0.25"/>
    <row r="36" spans="2:9" hidden="1" x14ac:dyDescent="0.25"/>
    <row r="37" spans="2:9" hidden="1" x14ac:dyDescent="0.25"/>
    <row r="38" spans="2:9" hidden="1" x14ac:dyDescent="0.25"/>
    <row r="39" spans="2:9" ht="23.25" hidden="1" x14ac:dyDescent="0.35">
      <c r="B39" s="311" t="s">
        <v>21</v>
      </c>
      <c r="C39" s="311"/>
      <c r="D39" s="311"/>
      <c r="E39" s="311"/>
      <c r="F39" s="311"/>
      <c r="G39" s="311"/>
      <c r="H39" s="311"/>
      <c r="I39" s="311"/>
    </row>
    <row r="40" spans="2:9" ht="21" hidden="1" x14ac:dyDescent="0.35">
      <c r="B40" s="3" t="s">
        <v>12</v>
      </c>
      <c r="C40" s="4" t="s">
        <v>0</v>
      </c>
      <c r="D40" s="4" t="s">
        <v>1</v>
      </c>
      <c r="E40" s="4" t="s">
        <v>2</v>
      </c>
      <c r="F40" s="4" t="s">
        <v>3</v>
      </c>
      <c r="G40" s="4" t="s">
        <v>4</v>
      </c>
      <c r="H40" s="4" t="s">
        <v>5</v>
      </c>
      <c r="I40" s="4" t="s">
        <v>6</v>
      </c>
    </row>
    <row r="41" spans="2:9" ht="21" hidden="1" x14ac:dyDescent="0.35">
      <c r="B41" s="3" t="s">
        <v>7</v>
      </c>
      <c r="C41" s="3" t="s">
        <v>15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16</v>
      </c>
      <c r="I41" s="5" t="s">
        <v>14</v>
      </c>
    </row>
    <row r="42" spans="2:9" ht="21" hidden="1" x14ac:dyDescent="0.35">
      <c r="B42" s="3" t="s">
        <v>8</v>
      </c>
      <c r="C42" s="3" t="s">
        <v>17</v>
      </c>
      <c r="D42" s="3" t="s">
        <v>17</v>
      </c>
      <c r="E42" s="5" t="s">
        <v>14</v>
      </c>
      <c r="F42" s="3" t="s">
        <v>17</v>
      </c>
      <c r="G42" s="3" t="s">
        <v>17</v>
      </c>
      <c r="H42" s="3" t="s">
        <v>17</v>
      </c>
      <c r="I42" s="7" t="s">
        <v>13</v>
      </c>
    </row>
    <row r="43" spans="2:9" ht="21" hidden="1" x14ac:dyDescent="0.35">
      <c r="B43" s="3" t="s">
        <v>9</v>
      </c>
      <c r="C43" s="3" t="s">
        <v>17</v>
      </c>
      <c r="D43" s="3" t="s">
        <v>17</v>
      </c>
      <c r="E43" s="3" t="s">
        <v>17</v>
      </c>
      <c r="F43" s="5" t="s">
        <v>14</v>
      </c>
      <c r="G43" s="3" t="s">
        <v>15</v>
      </c>
      <c r="H43" s="3" t="s">
        <v>17</v>
      </c>
      <c r="I43" s="7" t="s">
        <v>13</v>
      </c>
    </row>
    <row r="44" spans="2:9" ht="21" hidden="1" x14ac:dyDescent="0.35">
      <c r="B44" s="3" t="s">
        <v>10</v>
      </c>
      <c r="C44" s="3" t="s">
        <v>15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16</v>
      </c>
      <c r="I44" s="5" t="s">
        <v>14</v>
      </c>
    </row>
    <row r="45" spans="2:9" ht="21" hidden="1" x14ac:dyDescent="0.35">
      <c r="B45" s="3" t="s">
        <v>11</v>
      </c>
      <c r="C45" s="3" t="s">
        <v>15</v>
      </c>
      <c r="D45" s="3" t="s">
        <v>15</v>
      </c>
      <c r="E45" s="3" t="s">
        <v>15</v>
      </c>
      <c r="F45" s="3" t="s">
        <v>15</v>
      </c>
      <c r="G45" s="5" t="s">
        <v>14</v>
      </c>
      <c r="H45" s="3" t="s">
        <v>16</v>
      </c>
      <c r="I45" s="7" t="s">
        <v>13</v>
      </c>
    </row>
    <row r="46" spans="2:9" hidden="1" x14ac:dyDescent="0.25"/>
    <row r="47" spans="2:9" hidden="1" x14ac:dyDescent="0.25"/>
    <row r="48" spans="2:9" hidden="1" x14ac:dyDescent="0.25"/>
    <row r="49" spans="1:10" hidden="1" x14ac:dyDescent="0.25"/>
    <row r="50" spans="1:10" ht="21" hidden="1" x14ac:dyDescent="0.35">
      <c r="B50" s="8"/>
      <c r="C50" s="8"/>
      <c r="D50" s="8"/>
      <c r="E50" s="8"/>
      <c r="F50" s="8"/>
      <c r="G50" s="8"/>
      <c r="H50" s="8"/>
      <c r="I50" s="8"/>
    </row>
    <row r="51" spans="1:10" ht="21" hidden="1" x14ac:dyDescent="0.35">
      <c r="B51" s="8"/>
      <c r="C51" s="8"/>
      <c r="D51" s="8"/>
      <c r="E51" s="8"/>
      <c r="F51" s="8"/>
      <c r="G51" s="8"/>
      <c r="H51" s="8"/>
      <c r="I51" s="9"/>
    </row>
    <row r="52" spans="1:10" ht="21" hidden="1" x14ac:dyDescent="0.35">
      <c r="B52" s="8"/>
      <c r="C52" s="8"/>
      <c r="D52" s="8"/>
      <c r="E52" s="8"/>
      <c r="F52" s="8"/>
      <c r="G52" s="8"/>
      <c r="H52" s="8"/>
      <c r="I52" s="9"/>
    </row>
    <row r="53" spans="1:10" ht="21" hidden="1" x14ac:dyDescent="0.35">
      <c r="B53" s="8"/>
      <c r="C53" s="8"/>
      <c r="D53" s="8"/>
      <c r="E53" s="8"/>
      <c r="F53" s="8"/>
      <c r="G53" s="8"/>
      <c r="H53" s="8"/>
      <c r="I53" s="9"/>
    </row>
    <row r="54" spans="1:10" ht="21" hidden="1" x14ac:dyDescent="0.35">
      <c r="B54" s="8"/>
      <c r="C54" s="8"/>
      <c r="D54" s="8"/>
      <c r="E54" s="8"/>
      <c r="F54" s="8"/>
      <c r="G54" s="8"/>
      <c r="H54" s="8"/>
      <c r="I54" s="9"/>
    </row>
    <row r="55" spans="1:10" ht="21" hidden="1" x14ac:dyDescent="0.35">
      <c r="B55" s="8"/>
      <c r="C55" s="8"/>
      <c r="D55" s="8"/>
      <c r="E55" s="8"/>
      <c r="F55" s="8"/>
      <c r="G55" s="8"/>
      <c r="H55" s="8"/>
      <c r="I55" s="9"/>
    </row>
    <row r="56" spans="1:10" hidden="1" x14ac:dyDescent="0.25">
      <c r="B56" s="10"/>
      <c r="C56" s="10"/>
      <c r="D56" s="10"/>
      <c r="E56" s="10"/>
      <c r="F56" s="10"/>
      <c r="G56" s="10"/>
      <c r="H56" s="10"/>
      <c r="I56" s="10"/>
    </row>
    <row r="60" spans="1:10" ht="21" x14ac:dyDescent="0.35">
      <c r="B60" s="296" t="s">
        <v>185</v>
      </c>
      <c r="C60" s="296"/>
      <c r="D60" s="296"/>
      <c r="E60" s="296"/>
      <c r="F60" s="296"/>
      <c r="G60" s="296"/>
      <c r="H60" s="296"/>
      <c r="I60" s="296"/>
    </row>
    <row r="61" spans="1:10" ht="69.75" customHeight="1" x14ac:dyDescent="0.25">
      <c r="B61" s="118" t="s">
        <v>38</v>
      </c>
      <c r="C61" s="119" t="s">
        <v>149</v>
      </c>
      <c r="D61" s="119" t="s">
        <v>150</v>
      </c>
      <c r="E61" s="119" t="s">
        <v>151</v>
      </c>
      <c r="F61" s="119" t="s">
        <v>152</v>
      </c>
      <c r="G61" s="119" t="s">
        <v>153</v>
      </c>
      <c r="H61" s="119" t="s">
        <v>154</v>
      </c>
      <c r="I61" s="119" t="s">
        <v>155</v>
      </c>
      <c r="J61" s="1"/>
    </row>
    <row r="62" spans="1:10" ht="68.25" customHeight="1" x14ac:dyDescent="0.25">
      <c r="A62" s="1">
        <v>1</v>
      </c>
      <c r="B62" s="120" t="s">
        <v>7</v>
      </c>
      <c r="C62" s="58" t="s">
        <v>15</v>
      </c>
      <c r="D62" s="58" t="s">
        <v>15</v>
      </c>
      <c r="E62" s="58" t="s">
        <v>15</v>
      </c>
      <c r="F62" s="58" t="s">
        <v>15</v>
      </c>
      <c r="G62" s="58" t="s">
        <v>15</v>
      </c>
      <c r="H62" s="58" t="s">
        <v>16</v>
      </c>
      <c r="I62" s="56" t="s">
        <v>14</v>
      </c>
    </row>
    <row r="63" spans="1:10" ht="68.25" customHeight="1" x14ac:dyDescent="0.25">
      <c r="A63" s="1">
        <v>3</v>
      </c>
      <c r="B63" s="121" t="s">
        <v>9</v>
      </c>
      <c r="C63" s="57" t="s">
        <v>17</v>
      </c>
      <c r="D63" s="57" t="s">
        <v>17</v>
      </c>
      <c r="E63" s="57" t="s">
        <v>17</v>
      </c>
      <c r="F63" s="57" t="s">
        <v>17</v>
      </c>
      <c r="G63" s="57" t="s">
        <v>17</v>
      </c>
      <c r="H63" s="57" t="s">
        <v>17</v>
      </c>
      <c r="I63" s="56" t="s">
        <v>14</v>
      </c>
    </row>
    <row r="64" spans="1:10" ht="68.25" customHeight="1" x14ac:dyDescent="0.25">
      <c r="A64" s="1">
        <v>2</v>
      </c>
      <c r="B64" s="122" t="s">
        <v>8</v>
      </c>
      <c r="C64" s="58" t="s">
        <v>15</v>
      </c>
      <c r="D64" s="58" t="s">
        <v>15</v>
      </c>
      <c r="E64" s="58" t="s">
        <v>15</v>
      </c>
      <c r="F64" s="56" t="s">
        <v>14</v>
      </c>
      <c r="G64" s="58" t="s">
        <v>15</v>
      </c>
      <c r="H64" s="58" t="s">
        <v>16</v>
      </c>
      <c r="I64" s="57" t="s">
        <v>76</v>
      </c>
    </row>
    <row r="65" spans="1:9" ht="68.25" customHeight="1" x14ac:dyDescent="0.25">
      <c r="A65" s="1">
        <v>4</v>
      </c>
      <c r="B65" s="121" t="s">
        <v>10</v>
      </c>
      <c r="C65" s="57" t="s">
        <v>17</v>
      </c>
      <c r="D65" s="57" t="s">
        <v>17</v>
      </c>
      <c r="E65" s="57" t="s">
        <v>17</v>
      </c>
      <c r="F65" s="57" t="s">
        <v>17</v>
      </c>
      <c r="G65" s="57" t="s">
        <v>17</v>
      </c>
      <c r="H65" s="57" t="s">
        <v>17</v>
      </c>
      <c r="I65" s="56" t="s">
        <v>14</v>
      </c>
    </row>
    <row r="66" spans="1:9" ht="68.25" customHeight="1" x14ac:dyDescent="0.25">
      <c r="A66" s="1">
        <v>5</v>
      </c>
      <c r="B66" s="122" t="s">
        <v>11</v>
      </c>
      <c r="C66" s="58" t="s">
        <v>15</v>
      </c>
      <c r="D66" s="58" t="s">
        <v>15</v>
      </c>
      <c r="E66" s="58" t="s">
        <v>15</v>
      </c>
      <c r="F66" s="58" t="s">
        <v>15</v>
      </c>
      <c r="G66" s="56" t="s">
        <v>14</v>
      </c>
      <c r="H66" s="58" t="s">
        <v>16</v>
      </c>
      <c r="I66" s="57" t="s">
        <v>76</v>
      </c>
    </row>
    <row r="67" spans="1:9" ht="21" x14ac:dyDescent="0.35">
      <c r="B67" s="267" t="s">
        <v>142</v>
      </c>
      <c r="C67" s="267"/>
      <c r="D67" s="267"/>
      <c r="E67" s="267"/>
      <c r="F67" s="267"/>
      <c r="G67" s="267"/>
      <c r="H67" s="267"/>
      <c r="I67" s="267"/>
    </row>
    <row r="73" spans="1:9" x14ac:dyDescent="0.25">
      <c r="A73" s="190"/>
      <c r="B73" s="190"/>
      <c r="C73" s="190"/>
      <c r="D73" s="190"/>
      <c r="E73" s="190"/>
      <c r="F73" s="190"/>
      <c r="G73" s="190"/>
      <c r="H73" s="190"/>
      <c r="I73" s="190"/>
    </row>
    <row r="74" spans="1:9" ht="21" x14ac:dyDescent="0.35">
      <c r="A74" s="190"/>
      <c r="B74" s="296" t="s">
        <v>199</v>
      </c>
      <c r="C74" s="296"/>
      <c r="D74" s="296"/>
      <c r="E74" s="296"/>
      <c r="F74" s="296"/>
      <c r="G74" s="296"/>
      <c r="H74" s="296"/>
      <c r="I74" s="296"/>
    </row>
    <row r="75" spans="1:9" ht="89.25" customHeight="1" x14ac:dyDescent="0.25">
      <c r="A75" s="190"/>
      <c r="B75" s="118" t="s">
        <v>38</v>
      </c>
      <c r="C75" s="245" t="s">
        <v>187</v>
      </c>
      <c r="D75" s="245" t="s">
        <v>188</v>
      </c>
      <c r="E75" s="245" t="s">
        <v>189</v>
      </c>
      <c r="F75" s="245" t="s">
        <v>190</v>
      </c>
      <c r="G75" s="245" t="s">
        <v>191</v>
      </c>
      <c r="H75" s="245" t="s">
        <v>192</v>
      </c>
      <c r="I75" s="246" t="s">
        <v>193</v>
      </c>
    </row>
    <row r="76" spans="1:9" ht="74.25" customHeight="1" x14ac:dyDescent="0.25">
      <c r="A76" s="191">
        <v>1</v>
      </c>
      <c r="B76" s="120" t="s">
        <v>7</v>
      </c>
      <c r="C76" s="58" t="s">
        <v>15</v>
      </c>
      <c r="D76" s="58" t="s">
        <v>15</v>
      </c>
      <c r="E76" s="58" t="s">
        <v>15</v>
      </c>
      <c r="F76" s="58" t="s">
        <v>15</v>
      </c>
      <c r="G76" s="58" t="s">
        <v>15</v>
      </c>
      <c r="H76" s="58" t="s">
        <v>16</v>
      </c>
      <c r="I76" s="56" t="s">
        <v>14</v>
      </c>
    </row>
    <row r="77" spans="1:9" ht="74.25" customHeight="1" x14ac:dyDescent="0.25">
      <c r="A77" s="191">
        <v>3</v>
      </c>
      <c r="B77" s="36" t="s">
        <v>9</v>
      </c>
      <c r="C77" s="57" t="s">
        <v>17</v>
      </c>
      <c r="D77" s="56" t="s">
        <v>14</v>
      </c>
      <c r="E77" s="58" t="s">
        <v>15</v>
      </c>
      <c r="F77" s="57" t="s">
        <v>17</v>
      </c>
      <c r="G77" s="57" t="s">
        <v>17</v>
      </c>
      <c r="H77" s="57" t="s">
        <v>17</v>
      </c>
      <c r="I77" s="57" t="s">
        <v>76</v>
      </c>
    </row>
    <row r="78" spans="1:9" ht="74.25" customHeight="1" x14ac:dyDescent="0.25">
      <c r="A78" s="191">
        <v>2</v>
      </c>
      <c r="B78" s="120" t="s">
        <v>8</v>
      </c>
      <c r="C78" s="57" t="s">
        <v>17</v>
      </c>
      <c r="D78" s="57" t="s">
        <v>17</v>
      </c>
      <c r="E78" s="57" t="s">
        <v>17</v>
      </c>
      <c r="F78" s="57" t="s">
        <v>17</v>
      </c>
      <c r="G78" s="57" t="s">
        <v>17</v>
      </c>
      <c r="H78" s="57" t="s">
        <v>17</v>
      </c>
      <c r="I78" s="56" t="s">
        <v>14</v>
      </c>
    </row>
    <row r="79" spans="1:9" ht="74.25" customHeight="1" x14ac:dyDescent="0.25">
      <c r="A79" s="191">
        <v>4</v>
      </c>
      <c r="B79" s="36" t="s">
        <v>10</v>
      </c>
      <c r="C79" s="58" t="s">
        <v>15</v>
      </c>
      <c r="D79" s="58" t="s">
        <v>15</v>
      </c>
      <c r="E79" s="56" t="s">
        <v>14</v>
      </c>
      <c r="F79" s="58" t="s">
        <v>15</v>
      </c>
      <c r="G79" s="58" t="s">
        <v>15</v>
      </c>
      <c r="H79" s="58" t="s">
        <v>16</v>
      </c>
      <c r="I79" s="57" t="s">
        <v>76</v>
      </c>
    </row>
    <row r="80" spans="1:9" ht="74.25" customHeight="1" x14ac:dyDescent="0.25">
      <c r="A80" s="191">
        <v>5</v>
      </c>
      <c r="B80" s="120" t="s">
        <v>11</v>
      </c>
      <c r="C80" s="58" t="s">
        <v>15</v>
      </c>
      <c r="D80" s="58" t="s">
        <v>15</v>
      </c>
      <c r="E80" s="58" t="s">
        <v>15</v>
      </c>
      <c r="F80" s="58" t="s">
        <v>15</v>
      </c>
      <c r="G80" s="58" t="s">
        <v>15</v>
      </c>
      <c r="H80" s="58" t="s">
        <v>16</v>
      </c>
      <c r="I80" s="56" t="s">
        <v>14</v>
      </c>
    </row>
    <row r="81" spans="1:10" x14ac:dyDescent="0.25">
      <c r="A81" s="190"/>
      <c r="B81" s="52" t="s">
        <v>99</v>
      </c>
      <c r="C81" s="52">
        <v>2</v>
      </c>
      <c r="D81" s="52">
        <v>1</v>
      </c>
      <c r="E81" s="52">
        <v>1</v>
      </c>
      <c r="F81" s="52">
        <v>2</v>
      </c>
      <c r="G81" s="52">
        <v>2</v>
      </c>
      <c r="H81" s="52">
        <v>2</v>
      </c>
      <c r="I81" s="52">
        <v>1</v>
      </c>
    </row>
    <row r="82" spans="1:10" x14ac:dyDescent="0.25">
      <c r="B82" s="52" t="s">
        <v>100</v>
      </c>
      <c r="C82" s="52">
        <v>2</v>
      </c>
      <c r="D82" s="52">
        <v>3</v>
      </c>
      <c r="E82" s="52">
        <v>3</v>
      </c>
      <c r="F82" s="52">
        <v>3</v>
      </c>
      <c r="G82" s="52">
        <v>3</v>
      </c>
      <c r="H82" s="52">
        <v>3</v>
      </c>
      <c r="I82" s="52">
        <v>1</v>
      </c>
    </row>
    <row r="83" spans="1:10" x14ac:dyDescent="0.25">
      <c r="B83" s="52" t="s">
        <v>106</v>
      </c>
      <c r="C83" s="52">
        <v>0</v>
      </c>
      <c r="D83" s="52">
        <v>0</v>
      </c>
      <c r="E83" s="52">
        <v>1</v>
      </c>
      <c r="F83" s="52">
        <v>0</v>
      </c>
      <c r="G83" s="52">
        <v>0</v>
      </c>
      <c r="H83" s="52">
        <v>0</v>
      </c>
      <c r="I83" s="52">
        <v>3</v>
      </c>
    </row>
    <row r="84" spans="1:10" ht="21" x14ac:dyDescent="0.35">
      <c r="B84" s="267" t="s">
        <v>142</v>
      </c>
      <c r="C84" s="267"/>
      <c r="D84" s="267"/>
      <c r="E84" s="267"/>
      <c r="F84" s="267"/>
      <c r="G84" s="267"/>
      <c r="H84" s="267"/>
      <c r="I84" s="267"/>
    </row>
    <row r="94" spans="1:10" x14ac:dyDescent="0.25">
      <c r="A94" s="190"/>
      <c r="B94" s="190"/>
      <c r="C94" s="190"/>
      <c r="D94" s="190"/>
      <c r="E94" s="190"/>
      <c r="F94" s="190"/>
      <c r="G94" s="190"/>
      <c r="H94" s="190"/>
      <c r="I94" s="190"/>
      <c r="J94" s="190"/>
    </row>
    <row r="95" spans="1:10" x14ac:dyDescent="0.25">
      <c r="A95" s="190"/>
      <c r="B95" s="190"/>
      <c r="C95" s="190"/>
      <c r="D95" s="190"/>
      <c r="E95" s="190"/>
      <c r="F95" s="190"/>
      <c r="G95" s="190"/>
      <c r="H95" s="190"/>
      <c r="I95" s="190"/>
      <c r="J95" s="190"/>
    </row>
    <row r="96" spans="1:10" ht="21" x14ac:dyDescent="0.35">
      <c r="A96" s="190"/>
      <c r="B96" s="296" t="s">
        <v>215</v>
      </c>
      <c r="C96" s="296"/>
      <c r="D96" s="296"/>
      <c r="E96" s="296"/>
      <c r="F96" s="296"/>
      <c r="G96" s="296"/>
      <c r="H96" s="296"/>
      <c r="I96" s="296"/>
      <c r="J96" s="190"/>
    </row>
    <row r="97" spans="1:10" ht="105.75" customHeight="1" x14ac:dyDescent="0.25">
      <c r="A97" s="190"/>
      <c r="B97" s="118" t="s">
        <v>38</v>
      </c>
      <c r="C97" s="312" t="s">
        <v>205</v>
      </c>
      <c r="D97" s="312" t="s">
        <v>206</v>
      </c>
      <c r="E97" s="312" t="s">
        <v>207</v>
      </c>
      <c r="F97" s="312" t="s">
        <v>208</v>
      </c>
      <c r="G97" s="312" t="s">
        <v>209</v>
      </c>
      <c r="H97" s="312" t="s">
        <v>210</v>
      </c>
      <c r="I97" s="313" t="s">
        <v>211</v>
      </c>
      <c r="J97" s="190"/>
    </row>
    <row r="98" spans="1:10" x14ac:dyDescent="0.25">
      <c r="A98" s="191">
        <v>1</v>
      </c>
      <c r="B98" s="122" t="s">
        <v>7</v>
      </c>
      <c r="C98" s="56" t="s">
        <v>14</v>
      </c>
      <c r="D98" s="58" t="s">
        <v>15</v>
      </c>
      <c r="E98" s="58" t="s">
        <v>15</v>
      </c>
      <c r="F98" s="58" t="s">
        <v>15</v>
      </c>
      <c r="G98" s="58" t="s">
        <v>15</v>
      </c>
      <c r="H98" s="58" t="s">
        <v>16</v>
      </c>
      <c r="I98" s="57" t="s">
        <v>76</v>
      </c>
      <c r="J98" s="190"/>
    </row>
    <row r="99" spans="1:10" x14ac:dyDescent="0.25">
      <c r="A99" s="191">
        <v>3</v>
      </c>
      <c r="B99" s="315" t="s">
        <v>9</v>
      </c>
      <c r="C99" s="58" t="s">
        <v>15</v>
      </c>
      <c r="D99" s="58" t="s">
        <v>15</v>
      </c>
      <c r="E99" s="57" t="s">
        <v>17</v>
      </c>
      <c r="F99" s="57" t="s">
        <v>17</v>
      </c>
      <c r="G99" s="57" t="s">
        <v>17</v>
      </c>
      <c r="H99" s="57" t="s">
        <v>17</v>
      </c>
      <c r="I99" s="56" t="s">
        <v>14</v>
      </c>
      <c r="J99" s="190"/>
    </row>
    <row r="100" spans="1:10" x14ac:dyDescent="0.25">
      <c r="A100" s="191">
        <v>2</v>
      </c>
      <c r="B100" s="315" t="s">
        <v>8</v>
      </c>
      <c r="C100" s="58" t="s">
        <v>15</v>
      </c>
      <c r="D100" s="58" t="s">
        <v>15</v>
      </c>
      <c r="E100" s="58" t="s">
        <v>15</v>
      </c>
      <c r="F100" s="58" t="s">
        <v>15</v>
      </c>
      <c r="G100" s="58" t="s">
        <v>15</v>
      </c>
      <c r="H100" s="58" t="s">
        <v>16</v>
      </c>
      <c r="I100" s="56" t="s">
        <v>14</v>
      </c>
      <c r="J100" s="190"/>
    </row>
    <row r="101" spans="1:10" x14ac:dyDescent="0.25">
      <c r="A101" s="191">
        <v>4</v>
      </c>
      <c r="B101" s="315" t="s">
        <v>10</v>
      </c>
      <c r="C101" s="57" t="s">
        <v>17</v>
      </c>
      <c r="D101" s="57" t="s">
        <v>17</v>
      </c>
      <c r="E101" s="57" t="s">
        <v>17</v>
      </c>
      <c r="F101" s="57" t="s">
        <v>17</v>
      </c>
      <c r="G101" s="57" t="s">
        <v>17</v>
      </c>
      <c r="H101" s="57" t="s">
        <v>17</v>
      </c>
      <c r="I101" s="56" t="s">
        <v>14</v>
      </c>
      <c r="J101" s="190"/>
    </row>
    <row r="102" spans="1:10" x14ac:dyDescent="0.25">
      <c r="A102" s="191">
        <v>5</v>
      </c>
      <c r="B102" s="122" t="s">
        <v>11</v>
      </c>
      <c r="C102" s="58" t="s">
        <v>15</v>
      </c>
      <c r="D102" s="56" t="s">
        <v>14</v>
      </c>
      <c r="E102" s="58" t="s">
        <v>15</v>
      </c>
      <c r="F102" s="58" t="s">
        <v>15</v>
      </c>
      <c r="G102" s="58" t="s">
        <v>15</v>
      </c>
      <c r="H102" s="58" t="s">
        <v>16</v>
      </c>
      <c r="I102" s="57" t="s">
        <v>76</v>
      </c>
      <c r="J102" s="190"/>
    </row>
    <row r="103" spans="1:10" x14ac:dyDescent="0.25">
      <c r="A103" s="190"/>
      <c r="B103" s="52" t="s">
        <v>99</v>
      </c>
      <c r="C103" s="52">
        <v>1</v>
      </c>
      <c r="D103" s="52">
        <v>1</v>
      </c>
      <c r="E103" s="52">
        <v>2</v>
      </c>
      <c r="F103" s="52">
        <v>2</v>
      </c>
      <c r="G103" s="52">
        <v>2</v>
      </c>
      <c r="H103" s="52">
        <v>2</v>
      </c>
      <c r="I103" s="52">
        <v>2</v>
      </c>
      <c r="J103" s="190"/>
    </row>
    <row r="104" spans="1:10" x14ac:dyDescent="0.25">
      <c r="A104" s="190"/>
      <c r="B104" s="52" t="s">
        <v>100</v>
      </c>
      <c r="C104" s="52">
        <v>3</v>
      </c>
      <c r="D104" s="52">
        <v>3</v>
      </c>
      <c r="E104" s="52">
        <v>3</v>
      </c>
      <c r="F104" s="52">
        <v>3</v>
      </c>
      <c r="G104" s="52">
        <v>3</v>
      </c>
      <c r="H104" s="52">
        <v>3</v>
      </c>
      <c r="I104" s="52"/>
      <c r="J104" s="190"/>
    </row>
    <row r="105" spans="1:10" x14ac:dyDescent="0.25">
      <c r="A105" s="190"/>
      <c r="B105" s="52" t="s">
        <v>106</v>
      </c>
      <c r="C105" s="52">
        <v>1</v>
      </c>
      <c r="D105" s="52">
        <v>1</v>
      </c>
      <c r="E105" s="52">
        <v>0</v>
      </c>
      <c r="F105" s="52">
        <v>0</v>
      </c>
      <c r="G105" s="52">
        <v>0</v>
      </c>
      <c r="H105" s="52">
        <v>0</v>
      </c>
      <c r="I105" s="52">
        <v>3</v>
      </c>
      <c r="J105" s="190"/>
    </row>
    <row r="106" spans="1:10" ht="21" x14ac:dyDescent="0.35">
      <c r="A106" s="190"/>
      <c r="B106" s="267" t="s">
        <v>142</v>
      </c>
      <c r="C106" s="267"/>
      <c r="D106" s="267"/>
      <c r="E106" s="267"/>
      <c r="F106" s="267"/>
      <c r="G106" s="267"/>
      <c r="H106" s="267"/>
      <c r="I106" s="267"/>
      <c r="J106" s="190"/>
    </row>
  </sheetData>
  <mergeCells count="11">
    <mergeCell ref="B96:I96"/>
    <mergeCell ref="B106:I106"/>
    <mergeCell ref="B74:I74"/>
    <mergeCell ref="B84:I84"/>
    <mergeCell ref="B60:I60"/>
    <mergeCell ref="B67:I67"/>
    <mergeCell ref="B1:I1"/>
    <mergeCell ref="B10:I10"/>
    <mergeCell ref="B25:I25"/>
    <mergeCell ref="B39:I39"/>
    <mergeCell ref="B17:I17"/>
  </mergeCells>
  <pageMargins left="0.7" right="0.7" top="0.75" bottom="0.75" header="0.3" footer="0.3"/>
  <pageSetup scale="2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J83"/>
  <sheetViews>
    <sheetView showGridLines="0" topLeftCell="A60" zoomScale="70" zoomScaleNormal="70" workbookViewId="0">
      <selection activeCell="B78" activeCellId="1" sqref="B73 B78"/>
    </sheetView>
  </sheetViews>
  <sheetFormatPr baseColWidth="10" defaultRowHeight="15" x14ac:dyDescent="0.25"/>
  <cols>
    <col min="1" max="1" width="2" bestFit="1" customWidth="1"/>
    <col min="2" max="2" width="25.7109375" bestFit="1" customWidth="1"/>
    <col min="3" max="9" width="30.7109375" customWidth="1"/>
  </cols>
  <sheetData>
    <row r="1" spans="1:9" ht="21" x14ac:dyDescent="0.35">
      <c r="B1" s="296" t="s">
        <v>109</v>
      </c>
      <c r="C1" s="296"/>
      <c r="D1" s="296"/>
      <c r="E1" s="296"/>
      <c r="F1" s="296"/>
      <c r="G1" s="296"/>
      <c r="H1" s="296"/>
      <c r="I1" s="296"/>
    </row>
    <row r="2" spans="1:9" ht="66.75" customHeight="1" x14ac:dyDescent="0.25">
      <c r="B2" s="17" t="s">
        <v>38</v>
      </c>
      <c r="C2" s="16" t="s">
        <v>36</v>
      </c>
      <c r="D2" s="16" t="s">
        <v>37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</row>
    <row r="3" spans="1:9" x14ac:dyDescent="0.25">
      <c r="A3">
        <v>1</v>
      </c>
      <c r="B3" s="11" t="s">
        <v>58</v>
      </c>
      <c r="C3" s="27" t="s">
        <v>17</v>
      </c>
      <c r="D3" s="27" t="s">
        <v>17</v>
      </c>
      <c r="E3" s="27" t="s">
        <v>17</v>
      </c>
      <c r="F3" s="24" t="s">
        <v>72</v>
      </c>
      <c r="G3" s="27" t="s">
        <v>17</v>
      </c>
      <c r="H3" s="27" t="s">
        <v>17</v>
      </c>
      <c r="I3" s="32" t="s">
        <v>69</v>
      </c>
    </row>
    <row r="4" spans="1:9" x14ac:dyDescent="0.25">
      <c r="A4">
        <v>2</v>
      </c>
      <c r="B4" s="11" t="s">
        <v>59</v>
      </c>
      <c r="C4" s="24" t="s">
        <v>72</v>
      </c>
      <c r="D4" s="24" t="s">
        <v>72</v>
      </c>
      <c r="E4" s="24" t="s">
        <v>72</v>
      </c>
      <c r="F4" s="24" t="s">
        <v>72</v>
      </c>
      <c r="G4" s="24" t="s">
        <v>72</v>
      </c>
      <c r="H4" s="24" t="s">
        <v>74</v>
      </c>
      <c r="I4" s="32" t="s">
        <v>69</v>
      </c>
    </row>
    <row r="5" spans="1:9" x14ac:dyDescent="0.25">
      <c r="A5">
        <v>3</v>
      </c>
      <c r="B5" s="11" t="s">
        <v>60</v>
      </c>
      <c r="C5" s="24" t="s">
        <v>72</v>
      </c>
      <c r="D5" s="24" t="s">
        <v>72</v>
      </c>
      <c r="E5" s="24" t="s">
        <v>72</v>
      </c>
      <c r="F5" s="32" t="s">
        <v>69</v>
      </c>
      <c r="G5" s="24" t="s">
        <v>72</v>
      </c>
      <c r="H5" s="24" t="s">
        <v>74</v>
      </c>
      <c r="I5" s="27" t="s">
        <v>76</v>
      </c>
    </row>
    <row r="6" spans="1:9" x14ac:dyDescent="0.25">
      <c r="A6">
        <v>4</v>
      </c>
      <c r="B6" s="11" t="s">
        <v>61</v>
      </c>
      <c r="C6" s="27" t="s">
        <v>17</v>
      </c>
      <c r="D6" s="32" t="s">
        <v>69</v>
      </c>
      <c r="E6" s="27" t="s">
        <v>17</v>
      </c>
      <c r="F6" s="27" t="s">
        <v>17</v>
      </c>
      <c r="G6" s="27" t="s">
        <v>17</v>
      </c>
      <c r="H6" s="27" t="s">
        <v>17</v>
      </c>
      <c r="I6" s="27" t="s">
        <v>76</v>
      </c>
    </row>
    <row r="7" spans="1:9" x14ac:dyDescent="0.25">
      <c r="A7">
        <v>5</v>
      </c>
      <c r="B7" s="13" t="s">
        <v>110</v>
      </c>
      <c r="C7" s="27" t="s">
        <v>17</v>
      </c>
      <c r="D7" s="27" t="s">
        <v>17</v>
      </c>
      <c r="E7" s="27" t="s">
        <v>17</v>
      </c>
      <c r="F7" s="27" t="s">
        <v>17</v>
      </c>
      <c r="G7" s="27" t="s">
        <v>17</v>
      </c>
      <c r="H7" s="27" t="s">
        <v>17</v>
      </c>
      <c r="I7" s="32" t="s">
        <v>69</v>
      </c>
    </row>
    <row r="8" spans="1:9" x14ac:dyDescent="0.25">
      <c r="B8" s="11"/>
      <c r="C8" s="28" t="s">
        <v>80</v>
      </c>
      <c r="D8" s="28" t="s">
        <v>80</v>
      </c>
      <c r="E8" s="28" t="s">
        <v>80</v>
      </c>
      <c r="F8" s="28" t="s">
        <v>80</v>
      </c>
      <c r="G8" s="28" t="s">
        <v>80</v>
      </c>
      <c r="H8" s="28" t="s">
        <v>80</v>
      </c>
      <c r="I8" s="40" t="s">
        <v>80</v>
      </c>
    </row>
    <row r="9" spans="1:9" x14ac:dyDescent="0.25">
      <c r="B9" s="13"/>
      <c r="C9" s="39" t="s">
        <v>81</v>
      </c>
      <c r="D9" s="39" t="s">
        <v>81</v>
      </c>
      <c r="E9" s="39" t="s">
        <v>81</v>
      </c>
      <c r="F9" s="39" t="s">
        <v>81</v>
      </c>
      <c r="G9" s="39" t="s">
        <v>81</v>
      </c>
      <c r="H9" s="39" t="s">
        <v>81</v>
      </c>
      <c r="I9" s="41" t="s">
        <v>81</v>
      </c>
    </row>
    <row r="13" spans="1:9" ht="21" x14ac:dyDescent="0.35">
      <c r="B13" s="296" t="s">
        <v>131</v>
      </c>
      <c r="C13" s="296"/>
      <c r="D13" s="296"/>
      <c r="E13" s="296"/>
      <c r="F13" s="296"/>
      <c r="G13" s="296"/>
      <c r="H13" s="296"/>
      <c r="I13" s="296"/>
    </row>
    <row r="14" spans="1:9" ht="85.5" customHeight="1" x14ac:dyDescent="0.25">
      <c r="B14" s="17" t="s">
        <v>38</v>
      </c>
      <c r="C14" s="16" t="s">
        <v>84</v>
      </c>
      <c r="D14" s="16" t="s">
        <v>85</v>
      </c>
      <c r="E14" s="16" t="s">
        <v>86</v>
      </c>
      <c r="F14" s="16" t="s">
        <v>87</v>
      </c>
      <c r="G14" s="16" t="s">
        <v>88</v>
      </c>
      <c r="H14" s="16" t="s">
        <v>89</v>
      </c>
      <c r="I14" s="16" t="s">
        <v>90</v>
      </c>
    </row>
    <row r="15" spans="1:9" ht="52.5" customHeight="1" x14ac:dyDescent="0.25">
      <c r="A15" s="1">
        <v>1</v>
      </c>
      <c r="B15" s="35" t="s">
        <v>58</v>
      </c>
      <c r="C15" s="59" t="s">
        <v>72</v>
      </c>
      <c r="D15" s="59" t="s">
        <v>72</v>
      </c>
      <c r="E15" s="59" t="s">
        <v>72</v>
      </c>
      <c r="F15" s="56" t="s">
        <v>69</v>
      </c>
      <c r="G15" s="59" t="s">
        <v>72</v>
      </c>
      <c r="H15" s="59" t="s">
        <v>74</v>
      </c>
      <c r="I15" s="57" t="s">
        <v>76</v>
      </c>
    </row>
    <row r="16" spans="1:9" ht="52.5" customHeight="1" x14ac:dyDescent="0.25">
      <c r="A16" s="1">
        <v>2</v>
      </c>
      <c r="B16" s="11" t="s">
        <v>59</v>
      </c>
      <c r="C16" s="57" t="s">
        <v>17</v>
      </c>
      <c r="D16" s="57" t="s">
        <v>17</v>
      </c>
      <c r="E16" s="59" t="s">
        <v>72</v>
      </c>
      <c r="F16" s="57" t="s">
        <v>17</v>
      </c>
      <c r="G16" s="57" t="s">
        <v>17</v>
      </c>
      <c r="H16" s="57" t="s">
        <v>17</v>
      </c>
      <c r="I16" s="56" t="s">
        <v>69</v>
      </c>
    </row>
    <row r="17" spans="1:10" ht="52.5" customHeight="1" x14ac:dyDescent="0.25">
      <c r="A17" s="1">
        <v>3</v>
      </c>
      <c r="B17" s="11" t="s">
        <v>60</v>
      </c>
      <c r="C17" s="57" t="s">
        <v>17</v>
      </c>
      <c r="D17" s="57" t="s">
        <v>17</v>
      </c>
      <c r="E17" s="57" t="s">
        <v>17</v>
      </c>
      <c r="F17" s="59" t="s">
        <v>72</v>
      </c>
      <c r="G17" s="57" t="s">
        <v>17</v>
      </c>
      <c r="H17" s="57" t="s">
        <v>17</v>
      </c>
      <c r="I17" s="56" t="s">
        <v>69</v>
      </c>
    </row>
    <row r="18" spans="1:10" ht="52.5" customHeight="1" x14ac:dyDescent="0.25">
      <c r="A18" s="1">
        <v>4</v>
      </c>
      <c r="B18" s="11" t="s">
        <v>61</v>
      </c>
      <c r="C18" s="57" t="s">
        <v>17</v>
      </c>
      <c r="D18" s="57" t="s">
        <v>17</v>
      </c>
      <c r="E18" s="57" t="s">
        <v>17</v>
      </c>
      <c r="F18" s="57" t="s">
        <v>17</v>
      </c>
      <c r="G18" s="57" t="s">
        <v>17</v>
      </c>
      <c r="H18" s="57" t="s">
        <v>17</v>
      </c>
      <c r="I18" s="56" t="s">
        <v>69</v>
      </c>
    </row>
    <row r="19" spans="1:10" ht="52.5" customHeight="1" x14ac:dyDescent="0.25">
      <c r="A19" s="1">
        <v>5</v>
      </c>
      <c r="B19" s="73" t="s">
        <v>110</v>
      </c>
      <c r="C19" s="59" t="s">
        <v>72</v>
      </c>
      <c r="D19" s="59" t="s">
        <v>72</v>
      </c>
      <c r="E19" s="56" t="s">
        <v>69</v>
      </c>
      <c r="F19" s="59" t="s">
        <v>72</v>
      </c>
      <c r="G19" s="59" t="s">
        <v>72</v>
      </c>
      <c r="H19" s="59" t="s">
        <v>74</v>
      </c>
      <c r="I19" s="57" t="s">
        <v>76</v>
      </c>
    </row>
    <row r="20" spans="1:10" ht="52.5" customHeight="1" x14ac:dyDescent="0.25">
      <c r="B20" s="11" t="s">
        <v>143</v>
      </c>
      <c r="C20" s="59" t="s">
        <v>72</v>
      </c>
      <c r="D20" s="59" t="s">
        <v>72</v>
      </c>
      <c r="E20" s="59" t="s">
        <v>72</v>
      </c>
      <c r="F20" s="59" t="s">
        <v>72</v>
      </c>
      <c r="G20" s="59" t="s">
        <v>72</v>
      </c>
      <c r="H20" s="59" t="s">
        <v>72</v>
      </c>
      <c r="I20" s="56" t="s">
        <v>69</v>
      </c>
    </row>
    <row r="21" spans="1:10" ht="15.75" x14ac:dyDescent="0.25">
      <c r="B21" s="67" t="s">
        <v>99</v>
      </c>
      <c r="C21" s="67">
        <v>3</v>
      </c>
      <c r="D21" s="67">
        <v>3</v>
      </c>
      <c r="E21" s="67">
        <v>2</v>
      </c>
      <c r="F21" s="67">
        <v>2</v>
      </c>
      <c r="G21" s="67">
        <v>3</v>
      </c>
      <c r="H21" s="67">
        <v>3</v>
      </c>
      <c r="I21" s="68">
        <v>2</v>
      </c>
    </row>
    <row r="22" spans="1:10" ht="15.75" x14ac:dyDescent="0.25">
      <c r="B22" s="67" t="s">
        <v>100</v>
      </c>
      <c r="C22" s="69">
        <v>3</v>
      </c>
      <c r="D22" s="69">
        <v>3</v>
      </c>
      <c r="E22" s="69">
        <v>3</v>
      </c>
      <c r="F22" s="69">
        <v>3</v>
      </c>
      <c r="G22" s="69">
        <v>3</v>
      </c>
      <c r="H22" s="69">
        <v>3</v>
      </c>
      <c r="I22" s="70">
        <v>2</v>
      </c>
    </row>
    <row r="23" spans="1:10" ht="21" x14ac:dyDescent="0.35">
      <c r="B23" s="267" t="s">
        <v>142</v>
      </c>
      <c r="C23" s="267"/>
      <c r="D23" s="267"/>
      <c r="E23" s="267"/>
      <c r="F23" s="267"/>
      <c r="G23" s="267"/>
      <c r="H23" s="267"/>
      <c r="I23" s="267"/>
    </row>
    <row r="30" spans="1:10" ht="21" x14ac:dyDescent="0.35">
      <c r="B30" s="296" t="s">
        <v>162</v>
      </c>
      <c r="C30" s="296"/>
      <c r="D30" s="296"/>
      <c r="E30" s="296"/>
      <c r="F30" s="296"/>
      <c r="G30" s="296"/>
      <c r="H30" s="296"/>
      <c r="I30" s="296"/>
    </row>
    <row r="31" spans="1:10" ht="69.75" customHeight="1" x14ac:dyDescent="0.25">
      <c r="B31" s="118" t="s">
        <v>38</v>
      </c>
      <c r="C31" s="119" t="s">
        <v>149</v>
      </c>
      <c r="D31" s="119" t="s">
        <v>150</v>
      </c>
      <c r="E31" s="119" t="s">
        <v>151</v>
      </c>
      <c r="F31" s="119" t="s">
        <v>152</v>
      </c>
      <c r="G31" s="119" t="s">
        <v>153</v>
      </c>
      <c r="H31" s="119" t="s">
        <v>154</v>
      </c>
      <c r="I31" s="119" t="s">
        <v>155</v>
      </c>
      <c r="J31" s="1"/>
    </row>
    <row r="32" spans="1:10" ht="92.25" customHeight="1" x14ac:dyDescent="0.25">
      <c r="A32" s="1">
        <v>1</v>
      </c>
      <c r="B32" s="11" t="s">
        <v>58</v>
      </c>
      <c r="C32" s="57" t="s">
        <v>17</v>
      </c>
      <c r="D32" s="57" t="s">
        <v>17</v>
      </c>
      <c r="E32" s="57" t="s">
        <v>17</v>
      </c>
      <c r="F32" s="57" t="s">
        <v>17</v>
      </c>
      <c r="G32" s="57" t="s">
        <v>17</v>
      </c>
      <c r="H32" s="57" t="s">
        <v>17</v>
      </c>
      <c r="I32" s="56" t="s">
        <v>69</v>
      </c>
    </row>
    <row r="33" spans="1:9" ht="92.25" customHeight="1" x14ac:dyDescent="0.25">
      <c r="A33" s="1">
        <v>2</v>
      </c>
      <c r="B33" s="35" t="s">
        <v>59</v>
      </c>
      <c r="C33" s="129" t="s">
        <v>161</v>
      </c>
      <c r="D33" s="129" t="s">
        <v>161</v>
      </c>
      <c r="E33" s="129" t="s">
        <v>161</v>
      </c>
      <c r="F33" s="129" t="s">
        <v>161</v>
      </c>
      <c r="G33" s="129" t="s">
        <v>161</v>
      </c>
      <c r="H33" s="56" t="s">
        <v>69</v>
      </c>
      <c r="I33" s="57" t="s">
        <v>76</v>
      </c>
    </row>
    <row r="34" spans="1:9" ht="92.25" customHeight="1" thickBot="1" x14ac:dyDescent="0.3">
      <c r="A34" s="1">
        <v>3</v>
      </c>
      <c r="B34" s="11" t="s">
        <v>60</v>
      </c>
      <c r="C34" s="126" t="s">
        <v>72</v>
      </c>
      <c r="D34" s="126" t="s">
        <v>72</v>
      </c>
      <c r="E34" s="129" t="s">
        <v>161</v>
      </c>
      <c r="F34" s="126" t="s">
        <v>72</v>
      </c>
      <c r="G34" s="126" t="s">
        <v>72</v>
      </c>
      <c r="H34" s="126" t="s">
        <v>74</v>
      </c>
      <c r="I34" s="56" t="s">
        <v>69</v>
      </c>
    </row>
    <row r="35" spans="1:9" ht="92.25" customHeight="1" thickBot="1" x14ac:dyDescent="0.3">
      <c r="A35" s="1">
        <v>4</v>
      </c>
      <c r="B35" s="124" t="s">
        <v>61</v>
      </c>
      <c r="C35" s="128" t="s">
        <v>160</v>
      </c>
      <c r="D35" s="56" t="s">
        <v>69</v>
      </c>
      <c r="E35" s="128" t="s">
        <v>160</v>
      </c>
      <c r="F35" s="128" t="s">
        <v>160</v>
      </c>
      <c r="G35" s="128" t="s">
        <v>160</v>
      </c>
      <c r="H35" s="128" t="s">
        <v>163</v>
      </c>
      <c r="I35" s="125" t="s">
        <v>76</v>
      </c>
    </row>
    <row r="36" spans="1:9" ht="92.25" customHeight="1" thickBot="1" x14ac:dyDescent="0.3">
      <c r="A36" s="1">
        <v>5</v>
      </c>
      <c r="B36" s="11" t="s">
        <v>110</v>
      </c>
      <c r="C36" s="127" t="s">
        <v>17</v>
      </c>
      <c r="D36" s="128" t="s">
        <v>160</v>
      </c>
      <c r="E36" s="126" t="s">
        <v>72</v>
      </c>
      <c r="F36" s="127" t="s">
        <v>17</v>
      </c>
      <c r="G36" s="127" t="s">
        <v>17</v>
      </c>
      <c r="H36" s="127" t="s">
        <v>17</v>
      </c>
      <c r="I36" s="56" t="s">
        <v>69</v>
      </c>
    </row>
    <row r="37" spans="1:9" ht="92.25" customHeight="1" x14ac:dyDescent="0.25">
      <c r="A37" s="188">
        <v>6</v>
      </c>
      <c r="B37" s="11" t="s">
        <v>159</v>
      </c>
      <c r="C37" s="126" t="s">
        <v>72</v>
      </c>
      <c r="D37" s="126" t="s">
        <v>72</v>
      </c>
      <c r="E37" s="126" t="s">
        <v>72</v>
      </c>
      <c r="F37" s="126" t="s">
        <v>72</v>
      </c>
      <c r="G37" s="126" t="s">
        <v>72</v>
      </c>
      <c r="H37" s="126" t="s">
        <v>74</v>
      </c>
      <c r="I37" s="56" t="s">
        <v>69</v>
      </c>
    </row>
    <row r="38" spans="1:9" x14ac:dyDescent="0.25">
      <c r="B38" s="52" t="s">
        <v>99</v>
      </c>
      <c r="C38" s="52">
        <v>2</v>
      </c>
      <c r="D38" s="52">
        <v>1</v>
      </c>
      <c r="E38" s="52">
        <v>1</v>
      </c>
      <c r="F38" s="52">
        <v>2</v>
      </c>
      <c r="G38" s="52">
        <v>2</v>
      </c>
      <c r="H38" s="52">
        <v>2</v>
      </c>
      <c r="I38" s="52">
        <v>2</v>
      </c>
    </row>
    <row r="39" spans="1:9" x14ac:dyDescent="0.25">
      <c r="B39" s="52" t="s">
        <v>100</v>
      </c>
      <c r="C39" s="52">
        <v>2</v>
      </c>
      <c r="D39" s="52">
        <v>2</v>
      </c>
      <c r="E39" s="52">
        <v>2</v>
      </c>
      <c r="F39" s="52">
        <v>2</v>
      </c>
      <c r="G39" s="52">
        <v>2</v>
      </c>
      <c r="H39" s="52">
        <v>2</v>
      </c>
      <c r="I39" s="52">
        <v>2</v>
      </c>
    </row>
    <row r="40" spans="1:9" ht="21.75" customHeight="1" x14ac:dyDescent="0.25">
      <c r="B40" s="52" t="s">
        <v>106</v>
      </c>
      <c r="C40" s="52">
        <v>1</v>
      </c>
      <c r="D40" s="52">
        <v>2</v>
      </c>
      <c r="E40" s="52">
        <v>2</v>
      </c>
      <c r="F40" s="52">
        <v>1</v>
      </c>
      <c r="G40" s="52">
        <v>1</v>
      </c>
      <c r="H40" s="52">
        <v>1</v>
      </c>
      <c r="I40" s="52">
        <v>4</v>
      </c>
    </row>
    <row r="41" spans="1:9" ht="21" x14ac:dyDescent="0.35">
      <c r="B41" s="267" t="s">
        <v>142</v>
      </c>
      <c r="C41" s="267"/>
      <c r="D41" s="267"/>
      <c r="E41" s="267"/>
      <c r="F41" s="267"/>
      <c r="G41" s="267"/>
      <c r="H41" s="267"/>
      <c r="I41" s="267"/>
    </row>
    <row r="49" spans="1:9" ht="21" x14ac:dyDescent="0.35">
      <c r="A49" s="190"/>
      <c r="B49" s="296" t="s">
        <v>200</v>
      </c>
      <c r="C49" s="296"/>
      <c r="D49" s="296"/>
      <c r="E49" s="296"/>
      <c r="F49" s="296"/>
      <c r="G49" s="296"/>
      <c r="H49" s="296"/>
      <c r="I49" s="296"/>
    </row>
    <row r="50" spans="1:9" ht="93" customHeight="1" x14ac:dyDescent="0.25">
      <c r="A50" s="190"/>
      <c r="B50" s="118" t="s">
        <v>38</v>
      </c>
      <c r="C50" s="245" t="s">
        <v>187</v>
      </c>
      <c r="D50" s="245" t="s">
        <v>188</v>
      </c>
      <c r="E50" s="245" t="s">
        <v>189</v>
      </c>
      <c r="F50" s="245" t="s">
        <v>190</v>
      </c>
      <c r="G50" s="245" t="s">
        <v>191</v>
      </c>
      <c r="H50" s="245" t="s">
        <v>192</v>
      </c>
      <c r="I50" s="246" t="s">
        <v>193</v>
      </c>
    </row>
    <row r="51" spans="1:9" ht="84.75" customHeight="1" x14ac:dyDescent="0.25">
      <c r="A51" s="191">
        <v>1</v>
      </c>
      <c r="B51" s="11" t="s">
        <v>58</v>
      </c>
      <c r="C51" s="126" t="s">
        <v>72</v>
      </c>
      <c r="D51" s="126" t="s">
        <v>72</v>
      </c>
      <c r="E51" s="126" t="s">
        <v>72</v>
      </c>
      <c r="F51" s="126" t="s">
        <v>72</v>
      </c>
      <c r="G51" s="126" t="s">
        <v>72</v>
      </c>
      <c r="H51" s="126" t="s">
        <v>74</v>
      </c>
      <c r="I51" s="56" t="s">
        <v>69</v>
      </c>
    </row>
    <row r="52" spans="1:9" ht="84.75" customHeight="1" x14ac:dyDescent="0.25">
      <c r="A52" s="191">
        <v>2</v>
      </c>
      <c r="B52" s="35" t="s">
        <v>201</v>
      </c>
      <c r="C52" s="127" t="s">
        <v>17</v>
      </c>
      <c r="D52" s="127" t="s">
        <v>17</v>
      </c>
      <c r="E52" s="127" t="s">
        <v>17</v>
      </c>
      <c r="F52" s="127" t="s">
        <v>17</v>
      </c>
      <c r="G52" s="127" t="s">
        <v>17</v>
      </c>
      <c r="H52" s="127" t="s">
        <v>17</v>
      </c>
      <c r="I52" s="56" t="s">
        <v>69</v>
      </c>
    </row>
    <row r="53" spans="1:9" ht="84.75" customHeight="1" thickBot="1" x14ac:dyDescent="0.3">
      <c r="A53" s="191">
        <v>3</v>
      </c>
      <c r="B53" s="11" t="s">
        <v>60</v>
      </c>
      <c r="C53" s="127" t="s">
        <v>17</v>
      </c>
      <c r="D53" s="127" t="s">
        <v>17</v>
      </c>
      <c r="E53" s="56" t="s">
        <v>69</v>
      </c>
      <c r="F53" s="127" t="s">
        <v>17</v>
      </c>
      <c r="G53" s="127" t="s">
        <v>17</v>
      </c>
      <c r="H53" s="127" t="s">
        <v>17</v>
      </c>
      <c r="I53" s="57" t="s">
        <v>76</v>
      </c>
    </row>
    <row r="54" spans="1:9" ht="84.75" customHeight="1" thickBot="1" x14ac:dyDescent="0.3">
      <c r="A54" s="191">
        <v>4</v>
      </c>
      <c r="B54" s="124" t="s">
        <v>61</v>
      </c>
      <c r="C54" s="128" t="s">
        <v>160</v>
      </c>
      <c r="D54" s="128" t="s">
        <v>160</v>
      </c>
      <c r="E54" s="128" t="s">
        <v>160</v>
      </c>
      <c r="F54" s="128" t="s">
        <v>160</v>
      </c>
      <c r="G54" s="128" t="s">
        <v>160</v>
      </c>
      <c r="H54" s="128" t="s">
        <v>163</v>
      </c>
      <c r="I54" s="56" t="s">
        <v>69</v>
      </c>
    </row>
    <row r="55" spans="1:9" ht="84.75" customHeight="1" x14ac:dyDescent="0.25">
      <c r="A55" s="191">
        <v>5</v>
      </c>
      <c r="B55" s="11" t="s">
        <v>110</v>
      </c>
      <c r="C55" s="126" t="s">
        <v>72</v>
      </c>
      <c r="D55" s="126" t="s">
        <v>72</v>
      </c>
      <c r="E55" s="127" t="s">
        <v>17</v>
      </c>
      <c r="F55" s="126" t="s">
        <v>72</v>
      </c>
      <c r="G55" s="126" t="s">
        <v>72</v>
      </c>
      <c r="H55" s="126" t="s">
        <v>74</v>
      </c>
      <c r="I55" s="56" t="s">
        <v>69</v>
      </c>
    </row>
    <row r="56" spans="1:9" ht="84.75" customHeight="1" x14ac:dyDescent="0.25">
      <c r="A56" s="188">
        <v>6</v>
      </c>
      <c r="B56" s="11" t="s">
        <v>159</v>
      </c>
      <c r="C56" s="127" t="s">
        <v>17</v>
      </c>
      <c r="D56" s="127" t="s">
        <v>17</v>
      </c>
      <c r="E56" s="126" t="s">
        <v>72</v>
      </c>
      <c r="F56" s="56" t="s">
        <v>69</v>
      </c>
      <c r="G56" s="127" t="s">
        <v>17</v>
      </c>
      <c r="H56" s="127" t="s">
        <v>17</v>
      </c>
      <c r="I56" s="57" t="s">
        <v>76</v>
      </c>
    </row>
    <row r="57" spans="1:9" x14ac:dyDescent="0.25">
      <c r="A57" s="190"/>
      <c r="B57" s="52" t="s">
        <v>99</v>
      </c>
      <c r="C57" s="52">
        <v>2</v>
      </c>
      <c r="D57" s="52">
        <v>1</v>
      </c>
      <c r="E57" s="52">
        <v>1</v>
      </c>
      <c r="F57" s="52">
        <v>2</v>
      </c>
      <c r="G57" s="52">
        <v>2</v>
      </c>
      <c r="H57" s="52">
        <v>2</v>
      </c>
      <c r="I57" s="52">
        <v>2</v>
      </c>
    </row>
    <row r="58" spans="1:9" x14ac:dyDescent="0.25">
      <c r="A58" s="190"/>
      <c r="B58" s="52" t="s">
        <v>100</v>
      </c>
      <c r="C58" s="52">
        <v>2</v>
      </c>
      <c r="D58" s="52">
        <v>2</v>
      </c>
      <c r="E58" s="52">
        <v>2</v>
      </c>
      <c r="F58" s="52">
        <v>2</v>
      </c>
      <c r="G58" s="52">
        <v>2</v>
      </c>
      <c r="H58" s="52">
        <v>2</v>
      </c>
      <c r="I58" s="52">
        <v>2</v>
      </c>
    </row>
    <row r="59" spans="1:9" x14ac:dyDescent="0.25">
      <c r="A59" s="190"/>
      <c r="B59" s="52" t="s">
        <v>106</v>
      </c>
      <c r="C59" s="52">
        <v>1</v>
      </c>
      <c r="D59" s="52">
        <v>2</v>
      </c>
      <c r="E59" s="52">
        <v>2</v>
      </c>
      <c r="F59" s="52">
        <v>1</v>
      </c>
      <c r="G59" s="52">
        <v>1</v>
      </c>
      <c r="H59" s="52">
        <v>1</v>
      </c>
      <c r="I59" s="52">
        <v>4</v>
      </c>
    </row>
    <row r="60" spans="1:9" ht="21" x14ac:dyDescent="0.35">
      <c r="A60" s="190"/>
      <c r="B60" s="267" t="s">
        <v>142</v>
      </c>
      <c r="C60" s="267"/>
      <c r="D60" s="267"/>
      <c r="E60" s="267"/>
      <c r="F60" s="267"/>
      <c r="G60" s="267"/>
      <c r="H60" s="267"/>
      <c r="I60" s="267"/>
    </row>
    <row r="68" spans="1:9" x14ac:dyDescent="0.25">
      <c r="A68" s="190"/>
      <c r="B68" s="190"/>
      <c r="C68" s="190"/>
      <c r="D68" s="190"/>
      <c r="E68" s="190"/>
      <c r="F68" s="190"/>
      <c r="G68" s="190"/>
      <c r="H68" s="190"/>
      <c r="I68" s="190"/>
    </row>
    <row r="69" spans="1:9" x14ac:dyDescent="0.25">
      <c r="A69" s="190"/>
      <c r="B69" s="190"/>
      <c r="C69" s="190"/>
      <c r="D69" s="190"/>
      <c r="E69" s="190"/>
      <c r="F69" s="190"/>
      <c r="G69" s="190"/>
      <c r="H69" s="190"/>
      <c r="I69" s="190"/>
    </row>
    <row r="70" spans="1:9" x14ac:dyDescent="0.25">
      <c r="A70" s="190"/>
      <c r="B70" s="190"/>
      <c r="C70" s="190"/>
      <c r="D70" s="190"/>
      <c r="E70" s="190"/>
      <c r="F70" s="190"/>
      <c r="G70" s="190"/>
      <c r="H70" s="190"/>
      <c r="I70" s="190"/>
    </row>
    <row r="71" spans="1:9" ht="21" x14ac:dyDescent="0.35">
      <c r="A71" s="190"/>
      <c r="B71" s="296" t="s">
        <v>216</v>
      </c>
      <c r="C71" s="296"/>
      <c r="D71" s="296"/>
      <c r="E71" s="296"/>
      <c r="F71" s="296"/>
      <c r="G71" s="296"/>
      <c r="H71" s="296"/>
      <c r="I71" s="296"/>
    </row>
    <row r="72" spans="1:9" ht="123" customHeight="1" x14ac:dyDescent="0.25">
      <c r="A72" s="190"/>
      <c r="B72" s="118" t="s">
        <v>38</v>
      </c>
      <c r="C72" s="312" t="s">
        <v>205</v>
      </c>
      <c r="D72" s="312" t="s">
        <v>206</v>
      </c>
      <c r="E72" s="312" t="s">
        <v>207</v>
      </c>
      <c r="F72" s="312" t="s">
        <v>208</v>
      </c>
      <c r="G72" s="312" t="s">
        <v>209</v>
      </c>
      <c r="H72" s="312" t="s">
        <v>210</v>
      </c>
      <c r="I72" s="313" t="s">
        <v>211</v>
      </c>
    </row>
    <row r="73" spans="1:9" x14ac:dyDescent="0.25">
      <c r="A73" s="191">
        <v>1</v>
      </c>
      <c r="B73" s="35" t="s">
        <v>58</v>
      </c>
      <c r="C73" s="56" t="s">
        <v>69</v>
      </c>
      <c r="D73" s="127" t="s">
        <v>17</v>
      </c>
      <c r="E73" s="127" t="s">
        <v>17</v>
      </c>
      <c r="F73" s="127" t="s">
        <v>17</v>
      </c>
      <c r="G73" s="127" t="s">
        <v>17</v>
      </c>
      <c r="H73" s="127" t="s">
        <v>17</v>
      </c>
      <c r="I73" s="57" t="s">
        <v>76</v>
      </c>
    </row>
    <row r="74" spans="1:9" x14ac:dyDescent="0.25">
      <c r="A74" s="191">
        <v>2</v>
      </c>
      <c r="B74" s="115" t="s">
        <v>201</v>
      </c>
      <c r="C74" s="126" t="s">
        <v>72</v>
      </c>
      <c r="D74" s="126" t="s">
        <v>72</v>
      </c>
      <c r="E74" s="126" t="s">
        <v>72</v>
      </c>
      <c r="F74" s="126" t="s">
        <v>72</v>
      </c>
      <c r="G74" s="126" t="s">
        <v>72</v>
      </c>
      <c r="H74" s="126" t="s">
        <v>74</v>
      </c>
      <c r="I74" s="56" t="s">
        <v>69</v>
      </c>
    </row>
    <row r="75" spans="1:9" x14ac:dyDescent="0.25">
      <c r="A75" s="191">
        <v>3</v>
      </c>
      <c r="B75" s="11" t="s">
        <v>60</v>
      </c>
      <c r="C75" s="126" t="s">
        <v>72</v>
      </c>
      <c r="D75" s="126" t="s">
        <v>72</v>
      </c>
      <c r="E75" s="126" t="s">
        <v>72</v>
      </c>
      <c r="F75" s="126" t="s">
        <v>72</v>
      </c>
      <c r="G75" s="126" t="s">
        <v>72</v>
      </c>
      <c r="H75" s="126" t="s">
        <v>74</v>
      </c>
      <c r="I75" s="56" t="s">
        <v>69</v>
      </c>
    </row>
    <row r="76" spans="1:9" ht="15.75" thickBot="1" x14ac:dyDescent="0.3">
      <c r="A76" s="191">
        <v>4</v>
      </c>
      <c r="B76" s="317" t="s">
        <v>61</v>
      </c>
      <c r="C76" s="248" t="s">
        <v>161</v>
      </c>
      <c r="D76" s="248" t="s">
        <v>161</v>
      </c>
      <c r="E76" s="248" t="s">
        <v>161</v>
      </c>
      <c r="F76" s="248" t="s">
        <v>161</v>
      </c>
      <c r="G76" s="248" t="s">
        <v>161</v>
      </c>
      <c r="H76" s="248" t="s">
        <v>161</v>
      </c>
      <c r="I76" s="56" t="s">
        <v>69</v>
      </c>
    </row>
    <row r="77" spans="1:9" ht="15.75" thickBot="1" x14ac:dyDescent="0.3">
      <c r="A77" s="191">
        <v>5</v>
      </c>
      <c r="B77" s="11" t="s">
        <v>110</v>
      </c>
      <c r="C77" s="127" t="s">
        <v>160</v>
      </c>
      <c r="D77" s="127" t="s">
        <v>160</v>
      </c>
      <c r="E77" s="127" t="s">
        <v>160</v>
      </c>
      <c r="F77" s="127" t="s">
        <v>160</v>
      </c>
      <c r="G77" s="127" t="s">
        <v>160</v>
      </c>
      <c r="H77" s="128" t="s">
        <v>163</v>
      </c>
      <c r="I77" s="56" t="s">
        <v>69</v>
      </c>
    </row>
    <row r="78" spans="1:9" x14ac:dyDescent="0.25">
      <c r="A78" s="188">
        <v>6</v>
      </c>
      <c r="B78" s="35" t="s">
        <v>159</v>
      </c>
      <c r="C78" s="127" t="s">
        <v>17</v>
      </c>
      <c r="D78" s="127" t="s">
        <v>17</v>
      </c>
      <c r="E78" s="56" t="s">
        <v>69</v>
      </c>
      <c r="F78" s="127" t="s">
        <v>17</v>
      </c>
      <c r="G78" s="127" t="s">
        <v>17</v>
      </c>
      <c r="H78" s="127" t="s">
        <v>17</v>
      </c>
      <c r="I78" s="57" t="s">
        <v>76</v>
      </c>
    </row>
    <row r="79" spans="1:9" x14ac:dyDescent="0.25">
      <c r="A79" s="190"/>
      <c r="B79" s="52" t="s">
        <v>99</v>
      </c>
      <c r="C79" s="52">
        <v>1</v>
      </c>
      <c r="D79" s="52">
        <v>2</v>
      </c>
      <c r="E79" s="52">
        <v>1</v>
      </c>
      <c r="F79" s="52">
        <v>2</v>
      </c>
      <c r="G79" s="52">
        <v>2</v>
      </c>
      <c r="H79" s="52">
        <v>2</v>
      </c>
      <c r="I79" s="52">
        <v>2</v>
      </c>
    </row>
    <row r="80" spans="1:9" x14ac:dyDescent="0.25">
      <c r="A80" s="190"/>
      <c r="B80" s="52" t="s">
        <v>100</v>
      </c>
      <c r="C80" s="52">
        <v>2</v>
      </c>
      <c r="D80" s="52">
        <v>2</v>
      </c>
      <c r="E80" s="52">
        <v>2</v>
      </c>
      <c r="F80" s="52">
        <v>2</v>
      </c>
      <c r="G80" s="52">
        <v>2</v>
      </c>
      <c r="H80" s="52">
        <v>2</v>
      </c>
      <c r="I80" s="52"/>
    </row>
    <row r="81" spans="1:9" x14ac:dyDescent="0.25">
      <c r="A81" s="190"/>
      <c r="B81" s="52" t="s">
        <v>106</v>
      </c>
      <c r="C81" s="52">
        <v>2</v>
      </c>
      <c r="D81" s="52">
        <v>1</v>
      </c>
      <c r="E81" s="52">
        <v>2</v>
      </c>
      <c r="F81" s="52">
        <v>1</v>
      </c>
      <c r="G81" s="52">
        <v>1</v>
      </c>
      <c r="H81" s="52">
        <v>1</v>
      </c>
      <c r="I81" s="52">
        <v>4</v>
      </c>
    </row>
    <row r="82" spans="1:9" ht="21" x14ac:dyDescent="0.35">
      <c r="A82" s="190"/>
      <c r="B82" s="267" t="s">
        <v>142</v>
      </c>
      <c r="C82" s="267"/>
      <c r="D82" s="267"/>
      <c r="E82" s="267"/>
      <c r="F82" s="267"/>
      <c r="G82" s="267"/>
      <c r="H82" s="267"/>
      <c r="I82" s="267"/>
    </row>
    <row r="83" spans="1:9" x14ac:dyDescent="0.25">
      <c r="A83" s="190"/>
      <c r="B83" s="190"/>
      <c r="C83" s="190"/>
      <c r="D83" s="190"/>
      <c r="E83" s="190"/>
      <c r="F83" s="190"/>
      <c r="G83" s="190"/>
      <c r="H83" s="190"/>
      <c r="I83" s="190"/>
    </row>
  </sheetData>
  <mergeCells count="9">
    <mergeCell ref="B71:I71"/>
    <mergeCell ref="B82:I82"/>
    <mergeCell ref="B49:I49"/>
    <mergeCell ref="B60:I60"/>
    <mergeCell ref="B41:I41"/>
    <mergeCell ref="B1:I1"/>
    <mergeCell ref="B13:I13"/>
    <mergeCell ref="B23:I23"/>
    <mergeCell ref="B30:I30"/>
  </mergeCells>
  <pageMargins left="0.7" right="0.7" top="0.75" bottom="0.75" header="0.3" footer="0.3"/>
  <pageSetup scale="22" orientation="landscape" r:id="rId1"/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J102"/>
  <sheetViews>
    <sheetView showGridLines="0" topLeftCell="A84" zoomScale="70" zoomScaleNormal="70" workbookViewId="0">
      <selection activeCell="B93" sqref="B93"/>
    </sheetView>
  </sheetViews>
  <sheetFormatPr baseColWidth="10" defaultRowHeight="15" x14ac:dyDescent="0.25"/>
  <cols>
    <col min="1" max="1" width="2" bestFit="1" customWidth="1"/>
    <col min="2" max="2" width="25.42578125" customWidth="1"/>
    <col min="3" max="9" width="31.140625" customWidth="1"/>
  </cols>
  <sheetData>
    <row r="1" spans="1:9" ht="21" x14ac:dyDescent="0.35">
      <c r="B1" s="296" t="s">
        <v>107</v>
      </c>
      <c r="C1" s="296"/>
      <c r="D1" s="296"/>
      <c r="E1" s="296"/>
      <c r="F1" s="296"/>
      <c r="G1" s="296"/>
      <c r="H1" s="296"/>
      <c r="I1" s="296"/>
    </row>
    <row r="2" spans="1:9" ht="82.5" customHeight="1" x14ac:dyDescent="0.25">
      <c r="B2" s="17" t="s">
        <v>38</v>
      </c>
      <c r="C2" s="16" t="s">
        <v>36</v>
      </c>
      <c r="D2" s="16" t="s">
        <v>37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</row>
    <row r="3" spans="1:9" x14ac:dyDescent="0.25">
      <c r="A3">
        <v>1</v>
      </c>
      <c r="B3" s="11" t="s">
        <v>62</v>
      </c>
      <c r="C3" s="25" t="s">
        <v>72</v>
      </c>
      <c r="D3" s="25" t="s">
        <v>72</v>
      </c>
      <c r="E3" s="25" t="s">
        <v>72</v>
      </c>
      <c r="F3" s="25" t="s">
        <v>72</v>
      </c>
      <c r="G3" s="25" t="s">
        <v>72</v>
      </c>
      <c r="H3" s="24" t="s">
        <v>74</v>
      </c>
      <c r="I3" s="32" t="s">
        <v>69</v>
      </c>
    </row>
    <row r="4" spans="1:9" x14ac:dyDescent="0.25">
      <c r="A4">
        <v>2</v>
      </c>
      <c r="B4" s="11" t="s">
        <v>63</v>
      </c>
      <c r="C4" s="27" t="s">
        <v>17</v>
      </c>
      <c r="D4" s="32" t="s">
        <v>69</v>
      </c>
      <c r="E4" s="27" t="s">
        <v>17</v>
      </c>
      <c r="F4" s="27" t="s">
        <v>17</v>
      </c>
      <c r="G4" s="27" t="s">
        <v>17</v>
      </c>
      <c r="H4" s="27" t="s">
        <v>17</v>
      </c>
      <c r="I4" s="30" t="s">
        <v>76</v>
      </c>
    </row>
    <row r="5" spans="1:9" x14ac:dyDescent="0.25">
      <c r="A5">
        <v>3</v>
      </c>
      <c r="B5" s="11" t="s">
        <v>64</v>
      </c>
      <c r="C5" s="25" t="s">
        <v>72</v>
      </c>
      <c r="D5" s="25" t="s">
        <v>72</v>
      </c>
      <c r="E5" s="25" t="s">
        <v>72</v>
      </c>
      <c r="F5" s="25" t="s">
        <v>72</v>
      </c>
      <c r="G5" s="25" t="s">
        <v>72</v>
      </c>
      <c r="H5" s="24" t="s">
        <v>74</v>
      </c>
      <c r="I5" s="32" t="s">
        <v>69</v>
      </c>
    </row>
    <row r="6" spans="1:9" x14ac:dyDescent="0.25">
      <c r="A6">
        <v>4</v>
      </c>
      <c r="B6" s="11" t="s">
        <v>65</v>
      </c>
      <c r="C6" s="27" t="s">
        <v>17</v>
      </c>
      <c r="D6" s="27" t="s">
        <v>17</v>
      </c>
      <c r="E6" s="32" t="s">
        <v>69</v>
      </c>
      <c r="F6" s="27" t="s">
        <v>17</v>
      </c>
      <c r="G6" s="27" t="s">
        <v>17</v>
      </c>
      <c r="H6" s="27" t="s">
        <v>17</v>
      </c>
      <c r="I6" s="30" t="s">
        <v>76</v>
      </c>
    </row>
    <row r="7" spans="1:9" x14ac:dyDescent="0.25">
      <c r="A7">
        <v>5</v>
      </c>
      <c r="B7" s="13" t="s">
        <v>66</v>
      </c>
      <c r="C7" s="25" t="s">
        <v>72</v>
      </c>
      <c r="D7" s="25" t="s">
        <v>72</v>
      </c>
      <c r="E7" s="25" t="s">
        <v>72</v>
      </c>
      <c r="F7" s="25" t="s">
        <v>72</v>
      </c>
      <c r="G7" s="25" t="s">
        <v>72</v>
      </c>
      <c r="H7" s="24" t="s">
        <v>74</v>
      </c>
      <c r="I7" s="32" t="s">
        <v>69</v>
      </c>
    </row>
    <row r="8" spans="1:9" x14ac:dyDescent="0.25">
      <c r="A8">
        <v>6</v>
      </c>
      <c r="B8" s="13" t="s">
        <v>67</v>
      </c>
      <c r="C8" s="27" t="s">
        <v>17</v>
      </c>
      <c r="D8" s="27" t="s">
        <v>17</v>
      </c>
      <c r="E8" s="27" t="s">
        <v>17</v>
      </c>
      <c r="F8" s="32" t="s">
        <v>69</v>
      </c>
      <c r="G8" s="27" t="s">
        <v>17</v>
      </c>
      <c r="H8" s="27" t="s">
        <v>17</v>
      </c>
      <c r="I8" s="30" t="s">
        <v>76</v>
      </c>
    </row>
    <row r="9" spans="1:9" x14ac:dyDescent="0.25">
      <c r="A9">
        <v>7</v>
      </c>
      <c r="B9" s="13" t="s">
        <v>91</v>
      </c>
      <c r="C9" s="25" t="s">
        <v>72</v>
      </c>
      <c r="D9" s="25" t="s">
        <v>72</v>
      </c>
      <c r="E9" s="25" t="s">
        <v>72</v>
      </c>
      <c r="F9" s="25" t="s">
        <v>72</v>
      </c>
      <c r="G9" s="25" t="s">
        <v>72</v>
      </c>
      <c r="H9" s="24" t="s">
        <v>74</v>
      </c>
      <c r="I9" s="32" t="s">
        <v>69</v>
      </c>
    </row>
    <row r="10" spans="1:9" x14ac:dyDescent="0.25">
      <c r="A10">
        <v>8</v>
      </c>
      <c r="B10" s="13" t="s">
        <v>92</v>
      </c>
      <c r="C10" s="27" t="s">
        <v>17</v>
      </c>
      <c r="D10" s="27" t="s">
        <v>17</v>
      </c>
      <c r="E10" s="27" t="s">
        <v>17</v>
      </c>
      <c r="F10" s="27" t="s">
        <v>17</v>
      </c>
      <c r="G10" s="32" t="s">
        <v>69</v>
      </c>
      <c r="H10" s="27" t="s">
        <v>17</v>
      </c>
      <c r="I10" s="30" t="s">
        <v>76</v>
      </c>
    </row>
    <row r="11" spans="1:9" x14ac:dyDescent="0.25">
      <c r="B11" s="11"/>
      <c r="C11" s="28" t="s">
        <v>93</v>
      </c>
      <c r="D11" s="28" t="s">
        <v>80</v>
      </c>
      <c r="E11" s="28" t="s">
        <v>80</v>
      </c>
      <c r="F11" s="28" t="s">
        <v>80</v>
      </c>
      <c r="G11" s="28" t="s">
        <v>80</v>
      </c>
      <c r="H11" s="28" t="s">
        <v>80</v>
      </c>
      <c r="I11" s="12"/>
    </row>
    <row r="12" spans="1:9" x14ac:dyDescent="0.25">
      <c r="B12" s="13"/>
      <c r="C12" s="39" t="s">
        <v>94</v>
      </c>
      <c r="D12" s="39" t="s">
        <v>94</v>
      </c>
      <c r="E12" s="39" t="s">
        <v>94</v>
      </c>
      <c r="F12" s="39" t="s">
        <v>94</v>
      </c>
      <c r="G12" s="39" t="s">
        <v>94</v>
      </c>
      <c r="H12" s="39" t="s">
        <v>94</v>
      </c>
      <c r="I12" s="15"/>
    </row>
    <row r="16" spans="1:9" ht="52.5" customHeight="1" x14ac:dyDescent="0.35">
      <c r="B16" s="296" t="s">
        <v>146</v>
      </c>
      <c r="C16" s="296"/>
      <c r="D16" s="296"/>
      <c r="E16" s="296"/>
      <c r="F16" s="296"/>
      <c r="G16" s="296"/>
      <c r="H16" s="296"/>
      <c r="I16" s="296"/>
    </row>
    <row r="17" spans="1:9" ht="87" customHeight="1" x14ac:dyDescent="0.25">
      <c r="B17" s="17" t="s">
        <v>38</v>
      </c>
      <c r="C17" s="16" t="s">
        <v>84</v>
      </c>
      <c r="D17" s="16" t="s">
        <v>85</v>
      </c>
      <c r="E17" s="16" t="s">
        <v>86</v>
      </c>
      <c r="F17" s="16" t="s">
        <v>87</v>
      </c>
      <c r="G17" s="16" t="s">
        <v>88</v>
      </c>
      <c r="H17" s="16" t="s">
        <v>89</v>
      </c>
      <c r="I17" s="16" t="s">
        <v>90</v>
      </c>
    </row>
    <row r="18" spans="1:9" ht="71.25" customHeight="1" x14ac:dyDescent="0.25">
      <c r="A18">
        <v>1</v>
      </c>
      <c r="B18" s="11" t="s">
        <v>63</v>
      </c>
      <c r="C18" s="114" t="s">
        <v>145</v>
      </c>
      <c r="D18" s="114" t="s">
        <v>145</v>
      </c>
      <c r="E18" s="114" t="s">
        <v>145</v>
      </c>
      <c r="F18" s="114" t="s">
        <v>145</v>
      </c>
      <c r="G18" s="114" t="s">
        <v>145</v>
      </c>
      <c r="H18" s="24" t="s">
        <v>74</v>
      </c>
      <c r="I18" s="32" t="s">
        <v>69</v>
      </c>
    </row>
    <row r="19" spans="1:9" ht="71.25" customHeight="1" x14ac:dyDescent="0.25">
      <c r="A19">
        <v>2</v>
      </c>
      <c r="B19" s="115" t="s">
        <v>62</v>
      </c>
      <c r="C19" s="27" t="s">
        <v>17</v>
      </c>
      <c r="D19" s="27" t="s">
        <v>17</v>
      </c>
      <c r="E19" s="27" t="s">
        <v>17</v>
      </c>
      <c r="F19" s="27" t="s">
        <v>17</v>
      </c>
      <c r="G19" s="27" t="s">
        <v>147</v>
      </c>
      <c r="H19" s="27" t="s">
        <v>17</v>
      </c>
      <c r="I19" s="32" t="s">
        <v>69</v>
      </c>
    </row>
    <row r="20" spans="1:9" ht="71.25" customHeight="1" x14ac:dyDescent="0.25">
      <c r="A20">
        <v>3</v>
      </c>
      <c r="B20" s="11" t="s">
        <v>65</v>
      </c>
      <c r="C20" s="25" t="s">
        <v>72</v>
      </c>
      <c r="D20" s="25" t="s">
        <v>72</v>
      </c>
      <c r="E20" s="25" t="s">
        <v>72</v>
      </c>
      <c r="F20" s="25" t="s">
        <v>72</v>
      </c>
      <c r="G20" s="25" t="s">
        <v>72</v>
      </c>
      <c r="H20" s="24" t="s">
        <v>74</v>
      </c>
      <c r="I20" s="32" t="s">
        <v>69</v>
      </c>
    </row>
    <row r="21" spans="1:9" ht="71.25" customHeight="1" x14ac:dyDescent="0.25">
      <c r="A21">
        <v>4</v>
      </c>
      <c r="B21" s="35" t="s">
        <v>64</v>
      </c>
      <c r="C21" s="27" t="s">
        <v>17</v>
      </c>
      <c r="D21" s="27" t="s">
        <v>17</v>
      </c>
      <c r="E21" s="32" t="s">
        <v>69</v>
      </c>
      <c r="F21" s="27" t="s">
        <v>17</v>
      </c>
      <c r="G21" s="27" t="s">
        <v>17</v>
      </c>
      <c r="H21" s="27" t="s">
        <v>17</v>
      </c>
      <c r="I21" s="30" t="s">
        <v>76</v>
      </c>
    </row>
    <row r="22" spans="1:9" ht="71.25" customHeight="1" x14ac:dyDescent="0.25">
      <c r="A22">
        <v>5</v>
      </c>
      <c r="B22" s="13" t="s">
        <v>67</v>
      </c>
      <c r="C22" s="25" t="s">
        <v>72</v>
      </c>
      <c r="D22" s="25" t="s">
        <v>72</v>
      </c>
      <c r="E22" s="25" t="s">
        <v>72</v>
      </c>
      <c r="F22" s="25" t="s">
        <v>72</v>
      </c>
      <c r="G22" s="25" t="s">
        <v>72</v>
      </c>
      <c r="H22" s="24" t="s">
        <v>74</v>
      </c>
      <c r="I22" s="32" t="s">
        <v>69</v>
      </c>
    </row>
    <row r="23" spans="1:9" ht="71.25" customHeight="1" x14ac:dyDescent="0.25">
      <c r="A23">
        <v>6</v>
      </c>
      <c r="B23" s="73" t="s">
        <v>66</v>
      </c>
      <c r="C23" s="27" t="s">
        <v>17</v>
      </c>
      <c r="D23" s="32" t="s">
        <v>69</v>
      </c>
      <c r="E23" s="27" t="s">
        <v>17</v>
      </c>
      <c r="F23" s="27" t="s">
        <v>17</v>
      </c>
      <c r="G23" s="27" t="s">
        <v>17</v>
      </c>
      <c r="H23" s="27" t="s">
        <v>17</v>
      </c>
      <c r="I23" s="30" t="s">
        <v>76</v>
      </c>
    </row>
    <row r="24" spans="1:9" ht="71.25" customHeight="1" x14ac:dyDescent="0.25">
      <c r="A24">
        <v>7</v>
      </c>
      <c r="B24" s="13" t="s">
        <v>92</v>
      </c>
      <c r="C24" s="25" t="s">
        <v>72</v>
      </c>
      <c r="D24" s="25" t="s">
        <v>72</v>
      </c>
      <c r="E24" s="25" t="s">
        <v>72</v>
      </c>
      <c r="F24" s="25" t="s">
        <v>72</v>
      </c>
      <c r="G24" s="25" t="s">
        <v>72</v>
      </c>
      <c r="H24" s="24" t="s">
        <v>74</v>
      </c>
      <c r="I24" s="32" t="s">
        <v>69</v>
      </c>
    </row>
    <row r="25" spans="1:9" ht="71.25" customHeight="1" x14ac:dyDescent="0.25">
      <c r="A25">
        <v>8</v>
      </c>
      <c r="B25" s="73" t="s">
        <v>91</v>
      </c>
      <c r="C25" s="27" t="s">
        <v>17</v>
      </c>
      <c r="D25" s="27" t="s">
        <v>17</v>
      </c>
      <c r="E25" s="27" t="s">
        <v>17</v>
      </c>
      <c r="F25" s="32" t="s">
        <v>69</v>
      </c>
      <c r="G25" s="27" t="s">
        <v>17</v>
      </c>
      <c r="H25" s="27" t="s">
        <v>17</v>
      </c>
      <c r="I25" s="30" t="s">
        <v>76</v>
      </c>
    </row>
    <row r="26" spans="1:9" ht="71.25" customHeight="1" x14ac:dyDescent="0.25">
      <c r="B26" s="35" t="s">
        <v>132</v>
      </c>
      <c r="C26" s="25" t="s">
        <v>72</v>
      </c>
      <c r="D26" s="25" t="s">
        <v>72</v>
      </c>
      <c r="E26" s="25" t="s">
        <v>72</v>
      </c>
      <c r="F26" s="25" t="s">
        <v>72</v>
      </c>
      <c r="G26" s="32" t="s">
        <v>69</v>
      </c>
      <c r="H26" s="24" t="s">
        <v>74</v>
      </c>
      <c r="I26" s="30" t="s">
        <v>76</v>
      </c>
    </row>
    <row r="27" spans="1:9" x14ac:dyDescent="0.25">
      <c r="B27" s="72" t="s">
        <v>104</v>
      </c>
      <c r="C27" s="72">
        <v>4</v>
      </c>
      <c r="D27" s="72" t="s">
        <v>80</v>
      </c>
      <c r="E27" s="72" t="s">
        <v>80</v>
      </c>
      <c r="F27" s="72" t="s">
        <v>80</v>
      </c>
      <c r="G27" s="72">
        <v>4</v>
      </c>
      <c r="H27" s="72">
        <v>4</v>
      </c>
      <c r="I27" s="72">
        <v>4</v>
      </c>
    </row>
    <row r="28" spans="1:9" x14ac:dyDescent="0.25">
      <c r="B28" s="72" t="s">
        <v>105</v>
      </c>
      <c r="C28" s="72">
        <v>4</v>
      </c>
      <c r="D28" s="72" t="s">
        <v>94</v>
      </c>
      <c r="E28" s="72" t="s">
        <v>94</v>
      </c>
      <c r="F28" s="72" t="s">
        <v>94</v>
      </c>
      <c r="G28" s="72">
        <v>3</v>
      </c>
      <c r="H28" s="72">
        <v>5</v>
      </c>
      <c r="I28" s="72">
        <v>4</v>
      </c>
    </row>
    <row r="29" spans="1:9" x14ac:dyDescent="0.25">
      <c r="B29" s="72" t="s">
        <v>106</v>
      </c>
      <c r="C29" s="72"/>
      <c r="D29" s="72">
        <v>1</v>
      </c>
      <c r="E29" s="72">
        <v>1</v>
      </c>
      <c r="F29" s="72">
        <v>1</v>
      </c>
      <c r="G29" s="72">
        <v>1</v>
      </c>
      <c r="H29" s="72">
        <v>0</v>
      </c>
      <c r="I29" s="72">
        <v>4</v>
      </c>
    </row>
    <row r="30" spans="1:9" ht="21" x14ac:dyDescent="0.35">
      <c r="B30" s="267" t="s">
        <v>142</v>
      </c>
      <c r="C30" s="267"/>
      <c r="D30" s="267"/>
      <c r="E30" s="267"/>
      <c r="F30" s="267"/>
      <c r="G30" s="267"/>
      <c r="H30" s="267"/>
      <c r="I30" s="267"/>
    </row>
    <row r="36" spans="2:9" ht="50.25" customHeight="1" x14ac:dyDescent="0.35">
      <c r="B36" s="296" t="s">
        <v>184</v>
      </c>
      <c r="C36" s="296"/>
      <c r="D36" s="296"/>
      <c r="E36" s="296"/>
      <c r="F36" s="296"/>
      <c r="G36" s="296"/>
      <c r="H36" s="296"/>
      <c r="I36" s="296"/>
    </row>
    <row r="37" spans="2:9" ht="108" customHeight="1" x14ac:dyDescent="0.25">
      <c r="B37" s="161" t="s">
        <v>38</v>
      </c>
      <c r="C37" s="161" t="s">
        <v>149</v>
      </c>
      <c r="D37" s="161" t="s">
        <v>150</v>
      </c>
      <c r="E37" s="161" t="s">
        <v>151</v>
      </c>
      <c r="F37" s="161" t="s">
        <v>152</v>
      </c>
      <c r="G37" s="161" t="s">
        <v>153</v>
      </c>
      <c r="H37" s="161" t="s">
        <v>154</v>
      </c>
      <c r="I37" s="186" t="s">
        <v>155</v>
      </c>
    </row>
    <row r="38" spans="2:9" ht="50.25" customHeight="1" x14ac:dyDescent="0.25">
      <c r="B38" s="35" t="s">
        <v>63</v>
      </c>
      <c r="C38" s="25" t="s">
        <v>72</v>
      </c>
      <c r="D38" s="25" t="s">
        <v>72</v>
      </c>
      <c r="E38" s="25" t="s">
        <v>72</v>
      </c>
      <c r="F38" s="25" t="s">
        <v>72</v>
      </c>
      <c r="G38" s="32" t="s">
        <v>69</v>
      </c>
      <c r="H38" s="24" t="s">
        <v>74</v>
      </c>
      <c r="I38" s="30" t="s">
        <v>76</v>
      </c>
    </row>
    <row r="39" spans="2:9" ht="50.25" customHeight="1" x14ac:dyDescent="0.25">
      <c r="B39" s="115" t="s">
        <v>62</v>
      </c>
      <c r="C39" s="27" t="s">
        <v>17</v>
      </c>
      <c r="D39" s="27" t="s">
        <v>17</v>
      </c>
      <c r="E39" s="27" t="s">
        <v>17</v>
      </c>
      <c r="F39" s="27" t="s">
        <v>17</v>
      </c>
      <c r="G39" s="25" t="s">
        <v>72</v>
      </c>
      <c r="H39" s="27" t="s">
        <v>17</v>
      </c>
      <c r="I39" s="32" t="s">
        <v>69</v>
      </c>
    </row>
    <row r="40" spans="2:9" ht="50.25" customHeight="1" x14ac:dyDescent="0.25">
      <c r="B40" s="35" t="s">
        <v>65</v>
      </c>
      <c r="C40" s="27" t="s">
        <v>17</v>
      </c>
      <c r="D40" s="27" t="s">
        <v>17</v>
      </c>
      <c r="E40" s="27" t="s">
        <v>17</v>
      </c>
      <c r="F40" s="32" t="s">
        <v>69</v>
      </c>
      <c r="G40" s="27" t="s">
        <v>147</v>
      </c>
      <c r="H40" s="27" t="s">
        <v>17</v>
      </c>
      <c r="I40" s="30" t="s">
        <v>76</v>
      </c>
    </row>
    <row r="41" spans="2:9" ht="50.25" customHeight="1" x14ac:dyDescent="0.25">
      <c r="B41" s="115" t="s">
        <v>64</v>
      </c>
      <c r="C41" s="25" t="s">
        <v>72</v>
      </c>
      <c r="D41" s="25" t="s">
        <v>72</v>
      </c>
      <c r="E41" s="25" t="s">
        <v>72</v>
      </c>
      <c r="F41" s="25" t="s">
        <v>72</v>
      </c>
      <c r="G41" s="25" t="s">
        <v>72</v>
      </c>
      <c r="H41" s="24" t="s">
        <v>74</v>
      </c>
      <c r="I41" s="32" t="s">
        <v>69</v>
      </c>
    </row>
    <row r="42" spans="2:9" ht="50.25" customHeight="1" x14ac:dyDescent="0.25">
      <c r="B42" s="73" t="s">
        <v>67</v>
      </c>
      <c r="C42" s="27" t="s">
        <v>17</v>
      </c>
      <c r="D42" s="27" t="s">
        <v>17</v>
      </c>
      <c r="E42" s="32" t="s">
        <v>69</v>
      </c>
      <c r="F42" s="27" t="s">
        <v>17</v>
      </c>
      <c r="G42" s="27" t="s">
        <v>147</v>
      </c>
      <c r="H42" s="27" t="s">
        <v>17</v>
      </c>
      <c r="I42" s="30" t="s">
        <v>76</v>
      </c>
    </row>
    <row r="43" spans="2:9" ht="50.25" customHeight="1" x14ac:dyDescent="0.25">
      <c r="B43" s="187" t="s">
        <v>66</v>
      </c>
      <c r="C43" s="25" t="s">
        <v>72</v>
      </c>
      <c r="D43" s="25" t="s">
        <v>72</v>
      </c>
      <c r="E43" s="25" t="s">
        <v>72</v>
      </c>
      <c r="F43" s="25" t="s">
        <v>72</v>
      </c>
      <c r="G43" s="25" t="s">
        <v>72</v>
      </c>
      <c r="H43" s="24" t="s">
        <v>74</v>
      </c>
      <c r="I43" s="32" t="s">
        <v>69</v>
      </c>
    </row>
    <row r="44" spans="2:9" ht="50.25" customHeight="1" x14ac:dyDescent="0.25">
      <c r="B44" s="73" t="s">
        <v>92</v>
      </c>
      <c r="C44" s="27" t="s">
        <v>17</v>
      </c>
      <c r="D44" s="32" t="s">
        <v>69</v>
      </c>
      <c r="E44" s="27" t="s">
        <v>17</v>
      </c>
      <c r="F44" s="27" t="s">
        <v>17</v>
      </c>
      <c r="G44" s="27" t="s">
        <v>147</v>
      </c>
      <c r="H44" s="27" t="s">
        <v>17</v>
      </c>
      <c r="I44" s="30" t="s">
        <v>76</v>
      </c>
    </row>
    <row r="45" spans="2:9" ht="50.25" customHeight="1" x14ac:dyDescent="0.25">
      <c r="B45" s="187" t="s">
        <v>91</v>
      </c>
      <c r="C45" s="25" t="s">
        <v>72</v>
      </c>
      <c r="D45" s="25" t="s">
        <v>72</v>
      </c>
      <c r="E45" s="25" t="s">
        <v>72</v>
      </c>
      <c r="F45" s="25" t="s">
        <v>72</v>
      </c>
      <c r="G45" s="25" t="s">
        <v>72</v>
      </c>
      <c r="H45" s="24" t="s">
        <v>74</v>
      </c>
      <c r="I45" s="32" t="s">
        <v>69</v>
      </c>
    </row>
    <row r="46" spans="2:9" ht="50.25" customHeight="1" x14ac:dyDescent="0.25">
      <c r="B46" s="115" t="s">
        <v>132</v>
      </c>
      <c r="C46" s="27" t="s">
        <v>17</v>
      </c>
      <c r="D46" s="27" t="s">
        <v>17</v>
      </c>
      <c r="E46" s="27" t="s">
        <v>17</v>
      </c>
      <c r="F46" s="27" t="s">
        <v>17</v>
      </c>
      <c r="G46" s="27" t="s">
        <v>147</v>
      </c>
      <c r="H46" s="27" t="s">
        <v>17</v>
      </c>
      <c r="I46" s="32" t="s">
        <v>69</v>
      </c>
    </row>
    <row r="47" spans="2:9" x14ac:dyDescent="0.25">
      <c r="B47" s="72" t="s">
        <v>104</v>
      </c>
      <c r="C47" s="72">
        <v>4</v>
      </c>
      <c r="D47" s="72">
        <v>4</v>
      </c>
      <c r="E47" s="72" t="s">
        <v>80</v>
      </c>
      <c r="F47" s="72" t="s">
        <v>80</v>
      </c>
      <c r="G47" s="72">
        <v>4</v>
      </c>
      <c r="H47" s="72">
        <v>4</v>
      </c>
      <c r="I47" s="72">
        <v>4</v>
      </c>
    </row>
    <row r="48" spans="2:9" x14ac:dyDescent="0.25">
      <c r="B48" s="72" t="s">
        <v>105</v>
      </c>
      <c r="C48" s="72">
        <v>4</v>
      </c>
      <c r="D48" s="72">
        <v>4</v>
      </c>
      <c r="E48" s="72" t="s">
        <v>94</v>
      </c>
      <c r="F48" s="72" t="s">
        <v>94</v>
      </c>
      <c r="G48" s="72">
        <v>3</v>
      </c>
      <c r="H48" s="72">
        <v>5</v>
      </c>
      <c r="I48" s="72">
        <v>4</v>
      </c>
    </row>
    <row r="49" spans="2:10" x14ac:dyDescent="0.25">
      <c r="B49" s="72" t="s">
        <v>106</v>
      </c>
      <c r="C49" s="72"/>
      <c r="D49" s="72">
        <v>1</v>
      </c>
      <c r="E49" s="72">
        <v>1</v>
      </c>
      <c r="F49" s="72">
        <v>1</v>
      </c>
      <c r="G49" s="72">
        <v>1</v>
      </c>
      <c r="H49" s="72">
        <v>0</v>
      </c>
      <c r="I49" s="72">
        <v>4</v>
      </c>
    </row>
    <row r="61" spans="2:10" ht="21" x14ac:dyDescent="0.35">
      <c r="B61" s="296" t="s">
        <v>202</v>
      </c>
      <c r="C61" s="296"/>
      <c r="D61" s="296"/>
      <c r="E61" s="296"/>
      <c r="F61" s="296"/>
      <c r="G61" s="296"/>
      <c r="H61" s="296"/>
      <c r="I61" s="296"/>
      <c r="J61" s="190"/>
    </row>
    <row r="62" spans="2:10" ht="100.5" customHeight="1" x14ac:dyDescent="0.25">
      <c r="B62" s="214" t="s">
        <v>38</v>
      </c>
      <c r="C62" s="245" t="s">
        <v>187</v>
      </c>
      <c r="D62" s="245" t="s">
        <v>188</v>
      </c>
      <c r="E62" s="245" t="s">
        <v>189</v>
      </c>
      <c r="F62" s="245" t="s">
        <v>190</v>
      </c>
      <c r="G62" s="245" t="s">
        <v>191</v>
      </c>
      <c r="H62" s="245" t="s">
        <v>192</v>
      </c>
      <c r="I62" s="246" t="s">
        <v>193</v>
      </c>
      <c r="J62" s="190"/>
    </row>
    <row r="63" spans="2:10" ht="68.25" customHeight="1" x14ac:dyDescent="0.25">
      <c r="B63" s="115" t="s">
        <v>63</v>
      </c>
      <c r="C63" s="25" t="s">
        <v>72</v>
      </c>
      <c r="D63" s="25" t="s">
        <v>72</v>
      </c>
      <c r="E63" s="25" t="s">
        <v>72</v>
      </c>
      <c r="F63" s="25" t="s">
        <v>72</v>
      </c>
      <c r="G63" s="25" t="s">
        <v>72</v>
      </c>
      <c r="H63" s="24" t="s">
        <v>74</v>
      </c>
      <c r="I63" s="32" t="s">
        <v>69</v>
      </c>
      <c r="J63" s="190"/>
    </row>
    <row r="64" spans="2:10" ht="36" customHeight="1" x14ac:dyDescent="0.25">
      <c r="B64" s="115" t="s">
        <v>62</v>
      </c>
      <c r="C64" s="27" t="s">
        <v>17</v>
      </c>
      <c r="D64" s="27" t="s">
        <v>17</v>
      </c>
      <c r="E64" s="27" t="s">
        <v>17</v>
      </c>
      <c r="F64" s="27" t="s">
        <v>17</v>
      </c>
      <c r="G64" s="27" t="s">
        <v>17</v>
      </c>
      <c r="H64" s="27" t="s">
        <v>17</v>
      </c>
      <c r="I64" s="32" t="s">
        <v>69</v>
      </c>
      <c r="J64" s="190"/>
    </row>
    <row r="65" spans="2:10" ht="36" customHeight="1" x14ac:dyDescent="0.25">
      <c r="B65" s="115" t="s">
        <v>65</v>
      </c>
      <c r="C65" s="25" t="s">
        <v>72</v>
      </c>
      <c r="D65" s="25" t="s">
        <v>72</v>
      </c>
      <c r="E65" s="25" t="s">
        <v>72</v>
      </c>
      <c r="F65" s="25" t="s">
        <v>72</v>
      </c>
      <c r="G65" s="25" t="s">
        <v>72</v>
      </c>
      <c r="H65" s="24" t="s">
        <v>74</v>
      </c>
      <c r="I65" s="32" t="s">
        <v>69</v>
      </c>
      <c r="J65" s="190"/>
    </row>
    <row r="66" spans="2:10" ht="36" customHeight="1" x14ac:dyDescent="0.25">
      <c r="B66" s="253" t="s">
        <v>64</v>
      </c>
      <c r="C66" s="27" t="s">
        <v>17</v>
      </c>
      <c r="D66" s="27" t="s">
        <v>17</v>
      </c>
      <c r="E66" s="32" t="s">
        <v>69</v>
      </c>
      <c r="F66" s="27" t="s">
        <v>17</v>
      </c>
      <c r="G66" s="27" t="s">
        <v>17</v>
      </c>
      <c r="H66" s="27" t="s">
        <v>17</v>
      </c>
      <c r="I66" s="30" t="s">
        <v>76</v>
      </c>
      <c r="J66" s="190"/>
    </row>
    <row r="67" spans="2:10" ht="36" customHeight="1" x14ac:dyDescent="0.25">
      <c r="B67" s="187" t="s">
        <v>67</v>
      </c>
      <c r="C67" s="25" t="s">
        <v>72</v>
      </c>
      <c r="D67" s="25" t="s">
        <v>72</v>
      </c>
      <c r="E67" s="25" t="s">
        <v>72</v>
      </c>
      <c r="F67" s="25" t="s">
        <v>72</v>
      </c>
      <c r="G67" s="25" t="s">
        <v>72</v>
      </c>
      <c r="H67" s="24" t="s">
        <v>74</v>
      </c>
      <c r="I67" s="32" t="s">
        <v>69</v>
      </c>
      <c r="J67" s="190"/>
    </row>
    <row r="68" spans="2:10" ht="36" customHeight="1" x14ac:dyDescent="0.25">
      <c r="B68" s="252" t="s">
        <v>66</v>
      </c>
      <c r="C68" s="27" t="s">
        <v>17</v>
      </c>
      <c r="D68" s="32" t="s">
        <v>69</v>
      </c>
      <c r="E68" s="27" t="s">
        <v>17</v>
      </c>
      <c r="F68" s="27" t="s">
        <v>17</v>
      </c>
      <c r="G68" s="27" t="s">
        <v>17</v>
      </c>
      <c r="H68" s="27" t="s">
        <v>17</v>
      </c>
      <c r="I68" s="30" t="s">
        <v>76</v>
      </c>
      <c r="J68" s="190"/>
    </row>
    <row r="69" spans="2:10" ht="36" customHeight="1" x14ac:dyDescent="0.25">
      <c r="B69" s="187" t="s">
        <v>92</v>
      </c>
      <c r="C69" s="27" t="s">
        <v>17</v>
      </c>
      <c r="D69" s="27" t="s">
        <v>17</v>
      </c>
      <c r="E69" s="27" t="s">
        <v>17</v>
      </c>
      <c r="F69" s="27" t="s">
        <v>17</v>
      </c>
      <c r="G69" s="27" t="s">
        <v>17</v>
      </c>
      <c r="H69" s="27" t="s">
        <v>17</v>
      </c>
      <c r="I69" s="32" t="s">
        <v>69</v>
      </c>
      <c r="J69" s="190"/>
    </row>
    <row r="70" spans="2:10" ht="36" customHeight="1" x14ac:dyDescent="0.25">
      <c r="B70" s="252" t="s">
        <v>91</v>
      </c>
      <c r="C70" s="27" t="s">
        <v>17</v>
      </c>
      <c r="D70" s="27" t="s">
        <v>17</v>
      </c>
      <c r="E70" s="27" t="s">
        <v>17</v>
      </c>
      <c r="F70" s="32" t="s">
        <v>69</v>
      </c>
      <c r="G70" s="27" t="s">
        <v>17</v>
      </c>
      <c r="H70" s="27" t="s">
        <v>17</v>
      </c>
      <c r="I70" s="30" t="s">
        <v>76</v>
      </c>
      <c r="J70" s="190"/>
    </row>
    <row r="71" spans="2:10" ht="36" customHeight="1" x14ac:dyDescent="0.25">
      <c r="B71" s="253" t="s">
        <v>132</v>
      </c>
      <c r="C71" s="25" t="s">
        <v>72</v>
      </c>
      <c r="D71" s="25" t="s">
        <v>72</v>
      </c>
      <c r="E71" s="25" t="s">
        <v>72</v>
      </c>
      <c r="F71" s="25" t="s">
        <v>72</v>
      </c>
      <c r="G71" s="32" t="s">
        <v>69</v>
      </c>
      <c r="H71" s="24" t="s">
        <v>74</v>
      </c>
      <c r="I71" s="30" t="s">
        <v>76</v>
      </c>
      <c r="J71" s="190"/>
    </row>
    <row r="72" spans="2:10" x14ac:dyDescent="0.25">
      <c r="B72" s="72" t="s">
        <v>104</v>
      </c>
      <c r="C72" s="72">
        <f t="shared" ref="C72:H72" si="0">COUNTIF(C63:C71,"7:00am - 4:00pm")</f>
        <v>5</v>
      </c>
      <c r="D72" s="72">
        <f t="shared" si="0"/>
        <v>4</v>
      </c>
      <c r="E72" s="72">
        <f t="shared" si="0"/>
        <v>4</v>
      </c>
      <c r="F72" s="72">
        <f t="shared" si="0"/>
        <v>4</v>
      </c>
      <c r="G72" s="72">
        <f t="shared" si="0"/>
        <v>5</v>
      </c>
      <c r="H72" s="72">
        <f t="shared" si="0"/>
        <v>5</v>
      </c>
      <c r="I72" s="72">
        <f>COUNTIF(I63:I71,"8:00am - 1:00pm")</f>
        <v>4</v>
      </c>
      <c r="J72" s="190"/>
    </row>
    <row r="73" spans="2:10" x14ac:dyDescent="0.25">
      <c r="B73" s="72" t="s">
        <v>105</v>
      </c>
      <c r="C73" s="72">
        <f>COUNTIF(C63:C71,"9:00am - 6:00pm")</f>
        <v>4</v>
      </c>
      <c r="D73" s="72">
        <f t="shared" ref="D73:I73" si="1">COUNTIF(D63:D71,"9:00am - 6:00pm")</f>
        <v>4</v>
      </c>
      <c r="E73" s="72">
        <f t="shared" si="1"/>
        <v>4</v>
      </c>
      <c r="F73" s="72">
        <f t="shared" si="1"/>
        <v>4</v>
      </c>
      <c r="G73" s="72">
        <f t="shared" si="1"/>
        <v>3</v>
      </c>
      <c r="H73" s="72">
        <f>COUNTIF(H63:H71,"8:00am - 5:00pm")</f>
        <v>4</v>
      </c>
      <c r="I73" s="72">
        <f t="shared" si="1"/>
        <v>0</v>
      </c>
      <c r="J73" s="190"/>
    </row>
    <row r="74" spans="2:10" x14ac:dyDescent="0.25">
      <c r="B74" s="72" t="s">
        <v>106</v>
      </c>
      <c r="C74" s="72">
        <v>1</v>
      </c>
      <c r="D74" s="72">
        <v>1</v>
      </c>
      <c r="E74" s="72">
        <v>1</v>
      </c>
      <c r="F74" s="72">
        <v>1</v>
      </c>
      <c r="G74" s="72">
        <v>2</v>
      </c>
      <c r="H74" s="72">
        <v>1</v>
      </c>
      <c r="I74" s="72">
        <v>4</v>
      </c>
      <c r="J74" s="190"/>
    </row>
    <row r="75" spans="2:10" ht="21" x14ac:dyDescent="0.35">
      <c r="B75" s="267" t="s">
        <v>142</v>
      </c>
      <c r="C75" s="267"/>
      <c r="D75" s="267"/>
      <c r="E75" s="267"/>
      <c r="F75" s="267"/>
      <c r="G75" s="267"/>
      <c r="H75" s="267"/>
      <c r="I75" s="267"/>
    </row>
    <row r="87" spans="1:9" ht="21" x14ac:dyDescent="0.35">
      <c r="A87" s="190"/>
      <c r="B87" s="296" t="s">
        <v>217</v>
      </c>
      <c r="C87" s="296"/>
      <c r="D87" s="296"/>
      <c r="E87" s="296"/>
      <c r="F87" s="296"/>
      <c r="G87" s="296"/>
      <c r="H87" s="296"/>
      <c r="I87" s="296"/>
    </row>
    <row r="88" spans="1:9" ht="118.5" customHeight="1" x14ac:dyDescent="0.25">
      <c r="A88" s="190"/>
      <c r="B88" s="214" t="s">
        <v>38</v>
      </c>
      <c r="C88" s="312" t="s">
        <v>205</v>
      </c>
      <c r="D88" s="312" t="s">
        <v>206</v>
      </c>
      <c r="E88" s="312" t="s">
        <v>207</v>
      </c>
      <c r="F88" s="312" t="s">
        <v>208</v>
      </c>
      <c r="G88" s="312" t="s">
        <v>209</v>
      </c>
      <c r="H88" s="312" t="s">
        <v>210</v>
      </c>
      <c r="I88" s="313" t="s">
        <v>211</v>
      </c>
    </row>
    <row r="89" spans="1:9" ht="21.75" customHeight="1" x14ac:dyDescent="0.25">
      <c r="A89" s="190"/>
      <c r="B89" s="35" t="s">
        <v>63</v>
      </c>
      <c r="C89" s="27" t="s">
        <v>17</v>
      </c>
      <c r="D89" s="27" t="s">
        <v>17</v>
      </c>
      <c r="E89" s="32" t="s">
        <v>69</v>
      </c>
      <c r="F89" s="27" t="s">
        <v>17</v>
      </c>
      <c r="G89" s="27" t="s">
        <v>17</v>
      </c>
      <c r="H89" s="27" t="s">
        <v>17</v>
      </c>
      <c r="I89" s="30" t="s">
        <v>76</v>
      </c>
    </row>
    <row r="90" spans="1:9" ht="21.75" customHeight="1" x14ac:dyDescent="0.25">
      <c r="A90" s="190"/>
      <c r="B90" s="115" t="s">
        <v>62</v>
      </c>
      <c r="C90" s="251" t="s">
        <v>161</v>
      </c>
      <c r="D90" s="251" t="s">
        <v>161</v>
      </c>
      <c r="E90" s="27" t="s">
        <v>17</v>
      </c>
      <c r="F90" s="27" t="s">
        <v>17</v>
      </c>
      <c r="G90" s="27" t="s">
        <v>17</v>
      </c>
      <c r="H90" s="27" t="s">
        <v>17</v>
      </c>
      <c r="I90" s="32" t="s">
        <v>69</v>
      </c>
    </row>
    <row r="91" spans="1:9" ht="21.75" customHeight="1" x14ac:dyDescent="0.25">
      <c r="A91" s="190"/>
      <c r="B91" s="35" t="s">
        <v>65</v>
      </c>
      <c r="C91" s="27" t="s">
        <v>17</v>
      </c>
      <c r="D91" s="27" t="s">
        <v>17</v>
      </c>
      <c r="E91" s="27" t="s">
        <v>17</v>
      </c>
      <c r="F91" s="32" t="s">
        <v>69</v>
      </c>
      <c r="G91" s="27" t="s">
        <v>17</v>
      </c>
      <c r="H91" s="27" t="s">
        <v>17</v>
      </c>
      <c r="I91" s="30" t="s">
        <v>76</v>
      </c>
    </row>
    <row r="92" spans="1:9" ht="21.75" customHeight="1" x14ac:dyDescent="0.25">
      <c r="A92" s="190"/>
      <c r="B92" s="115" t="s">
        <v>64</v>
      </c>
      <c r="C92" s="25" t="s">
        <v>72</v>
      </c>
      <c r="D92" s="25" t="s">
        <v>72</v>
      </c>
      <c r="E92" s="25" t="s">
        <v>72</v>
      </c>
      <c r="F92" s="25" t="s">
        <v>72</v>
      </c>
      <c r="G92" s="25" t="s">
        <v>72</v>
      </c>
      <c r="H92" s="24" t="s">
        <v>74</v>
      </c>
      <c r="I92" s="32" t="s">
        <v>69</v>
      </c>
    </row>
    <row r="93" spans="1:9" ht="21.75" customHeight="1" x14ac:dyDescent="0.25">
      <c r="A93" s="190"/>
      <c r="B93" s="35" t="s">
        <v>67</v>
      </c>
      <c r="C93" s="27" t="s">
        <v>17</v>
      </c>
      <c r="D93" s="27" t="s">
        <v>17</v>
      </c>
      <c r="E93" s="27" t="s">
        <v>17</v>
      </c>
      <c r="F93" s="27" t="s">
        <v>17</v>
      </c>
      <c r="G93" s="27" t="s">
        <v>17</v>
      </c>
      <c r="H93" s="32" t="s">
        <v>69</v>
      </c>
      <c r="I93" s="30" t="s">
        <v>76</v>
      </c>
    </row>
    <row r="94" spans="1:9" ht="21.75" customHeight="1" x14ac:dyDescent="0.25">
      <c r="A94" s="190"/>
      <c r="B94" s="115" t="s">
        <v>66</v>
      </c>
      <c r="C94" s="25" t="s">
        <v>72</v>
      </c>
      <c r="D94" s="25" t="s">
        <v>72</v>
      </c>
      <c r="E94" s="27" t="s">
        <v>17</v>
      </c>
      <c r="F94" s="25" t="s">
        <v>72</v>
      </c>
      <c r="G94" s="25" t="s">
        <v>72</v>
      </c>
      <c r="H94" s="24" t="s">
        <v>74</v>
      </c>
      <c r="I94" s="32" t="s">
        <v>69</v>
      </c>
    </row>
    <row r="95" spans="1:9" ht="21.75" customHeight="1" x14ac:dyDescent="0.25">
      <c r="A95" s="190"/>
      <c r="B95" s="35" t="s">
        <v>92</v>
      </c>
      <c r="C95" s="25" t="s">
        <v>72</v>
      </c>
      <c r="D95" s="25" t="s">
        <v>72</v>
      </c>
      <c r="E95" s="25" t="s">
        <v>72</v>
      </c>
      <c r="F95" s="25" t="s">
        <v>72</v>
      </c>
      <c r="G95" s="32" t="s">
        <v>69</v>
      </c>
      <c r="H95" s="24" t="s">
        <v>74</v>
      </c>
      <c r="I95" s="30" t="s">
        <v>76</v>
      </c>
    </row>
    <row r="96" spans="1:9" ht="21.75" customHeight="1" x14ac:dyDescent="0.25">
      <c r="A96" s="190"/>
      <c r="B96" s="115" t="s">
        <v>91</v>
      </c>
      <c r="C96" s="25" t="s">
        <v>72</v>
      </c>
      <c r="D96" s="25" t="s">
        <v>72</v>
      </c>
      <c r="E96" s="25" t="s">
        <v>72</v>
      </c>
      <c r="F96" s="27" t="s">
        <v>17</v>
      </c>
      <c r="G96" s="25" t="s">
        <v>72</v>
      </c>
      <c r="H96" s="24" t="s">
        <v>74</v>
      </c>
      <c r="I96" s="32" t="s">
        <v>69</v>
      </c>
    </row>
    <row r="97" spans="1:9" ht="21.75" customHeight="1" x14ac:dyDescent="0.25">
      <c r="A97" s="190"/>
      <c r="B97" s="115" t="s">
        <v>132</v>
      </c>
      <c r="C97" s="251" t="s">
        <v>161</v>
      </c>
      <c r="D97" s="251" t="s">
        <v>161</v>
      </c>
      <c r="E97" s="25" t="s">
        <v>72</v>
      </c>
      <c r="F97" s="25" t="s">
        <v>72</v>
      </c>
      <c r="G97" s="25" t="s">
        <v>72</v>
      </c>
      <c r="H97" s="24" t="s">
        <v>74</v>
      </c>
      <c r="I97" s="32" t="s">
        <v>69</v>
      </c>
    </row>
    <row r="98" spans="1:9" ht="23.25" x14ac:dyDescent="0.25">
      <c r="A98" s="190"/>
      <c r="B98" s="72" t="s">
        <v>104</v>
      </c>
      <c r="C98" s="198">
        <f>COUNTIF(C89:C97,"7:00am - 4:00pm")</f>
        <v>3</v>
      </c>
      <c r="D98" s="72">
        <f t="shared" ref="C98:H98" si="2">COUNTIF(D89:D97,"7:00am - 4:00pm")</f>
        <v>3</v>
      </c>
      <c r="E98" s="72">
        <f t="shared" si="2"/>
        <v>4</v>
      </c>
      <c r="F98" s="72">
        <f t="shared" si="2"/>
        <v>4</v>
      </c>
      <c r="G98" s="72">
        <f t="shared" si="2"/>
        <v>4</v>
      </c>
      <c r="H98" s="72">
        <f t="shared" si="2"/>
        <v>3</v>
      </c>
      <c r="I98" s="72">
        <f>COUNTIF(I89:I97,"8:00am - 1:00pm")</f>
        <v>4</v>
      </c>
    </row>
    <row r="99" spans="1:9" ht="23.25" x14ac:dyDescent="0.25">
      <c r="A99" s="190"/>
      <c r="B99" s="72" t="s">
        <v>105</v>
      </c>
      <c r="C99" s="265">
        <f>COUNTIF(C89:C97,"9:00am - 6:00pm")</f>
        <v>4</v>
      </c>
      <c r="D99" s="72">
        <f t="shared" ref="D99:I99" si="3">COUNTIF(D89:D97,"9:00am - 6:00pm")</f>
        <v>4</v>
      </c>
      <c r="E99" s="72">
        <f t="shared" si="3"/>
        <v>4</v>
      </c>
      <c r="F99" s="72">
        <f t="shared" si="3"/>
        <v>4</v>
      </c>
      <c r="G99" s="72">
        <f t="shared" si="3"/>
        <v>4</v>
      </c>
      <c r="H99" s="72">
        <f>COUNTIF(H89:H97,"8:00am - 5:00pm")</f>
        <v>5</v>
      </c>
      <c r="I99" s="72">
        <f t="shared" ref="I99" si="4">COUNTIF(I89:I97,"9:00am - 6:00pm")</f>
        <v>0</v>
      </c>
    </row>
    <row r="100" spans="1:9" ht="23.25" x14ac:dyDescent="0.25">
      <c r="A100" s="190"/>
      <c r="B100" s="72" t="s">
        <v>106</v>
      </c>
      <c r="C100" s="265">
        <f>COUNTIF(C89:C97,"LIBRE")</f>
        <v>0</v>
      </c>
      <c r="D100" s="265">
        <f t="shared" ref="D100:I100" si="5">COUNTIF(D89:D97,"LIBRE")</f>
        <v>0</v>
      </c>
      <c r="E100" s="265">
        <f t="shared" si="5"/>
        <v>1</v>
      </c>
      <c r="F100" s="265">
        <f t="shared" si="5"/>
        <v>1</v>
      </c>
      <c r="G100" s="265">
        <f t="shared" si="5"/>
        <v>1</v>
      </c>
      <c r="H100" s="265">
        <f t="shared" si="5"/>
        <v>1</v>
      </c>
      <c r="I100" s="265">
        <f t="shared" si="5"/>
        <v>5</v>
      </c>
    </row>
    <row r="101" spans="1:9" ht="21" x14ac:dyDescent="0.35">
      <c r="A101" s="190"/>
      <c r="B101" s="267" t="s">
        <v>142</v>
      </c>
      <c r="C101" s="267"/>
      <c r="D101" s="267"/>
      <c r="E101" s="267"/>
      <c r="F101" s="267"/>
      <c r="G101" s="267"/>
      <c r="H101" s="267"/>
      <c r="I101" s="267"/>
    </row>
    <row r="102" spans="1:9" x14ac:dyDescent="0.25">
      <c r="A102" s="190"/>
      <c r="B102" s="190"/>
      <c r="C102" s="190"/>
      <c r="D102" s="190"/>
      <c r="E102" s="190"/>
      <c r="F102" s="190"/>
      <c r="G102" s="190"/>
      <c r="H102" s="190"/>
      <c r="I102" s="190"/>
    </row>
  </sheetData>
  <mergeCells count="8">
    <mergeCell ref="B87:I87"/>
    <mergeCell ref="B101:I101"/>
    <mergeCell ref="B75:I75"/>
    <mergeCell ref="B1:I1"/>
    <mergeCell ref="B16:I16"/>
    <mergeCell ref="B30:I30"/>
    <mergeCell ref="B36:I36"/>
    <mergeCell ref="B61:I61"/>
  </mergeCells>
  <pageMargins left="0.7" right="0.7" top="0.75" bottom="0.75" header="0.3" footer="0.3"/>
  <pageSetup scale="16" orientation="landscape" r:id="rId1"/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J70"/>
  <sheetViews>
    <sheetView showGridLines="0" topLeftCell="A52" zoomScale="70" zoomScaleNormal="70" workbookViewId="0">
      <selection activeCell="B67" activeCellId="1" sqref="B63 B67"/>
    </sheetView>
  </sheetViews>
  <sheetFormatPr baseColWidth="10" defaultRowHeight="15" x14ac:dyDescent="0.25"/>
  <cols>
    <col min="1" max="1" width="2" bestFit="1" customWidth="1"/>
    <col min="2" max="2" width="25.28515625" bestFit="1" customWidth="1"/>
    <col min="3" max="9" width="33.85546875" customWidth="1"/>
  </cols>
  <sheetData>
    <row r="1" spans="1:9" ht="21" x14ac:dyDescent="0.35">
      <c r="B1" s="296" t="s">
        <v>108</v>
      </c>
      <c r="C1" s="296"/>
      <c r="D1" s="296"/>
      <c r="E1" s="296"/>
      <c r="F1" s="296"/>
      <c r="G1" s="296"/>
      <c r="H1" s="296"/>
      <c r="I1" s="296"/>
    </row>
    <row r="2" spans="1:9" ht="63" customHeight="1" x14ac:dyDescent="0.25">
      <c r="B2" s="17" t="s">
        <v>38</v>
      </c>
      <c r="C2" s="16" t="s">
        <v>36</v>
      </c>
      <c r="D2" s="16" t="s">
        <v>37</v>
      </c>
      <c r="E2" s="16" t="s">
        <v>39</v>
      </c>
      <c r="F2" s="16" t="s">
        <v>40</v>
      </c>
      <c r="G2" s="16" t="s">
        <v>41</v>
      </c>
      <c r="H2" s="16" t="s">
        <v>42</v>
      </c>
      <c r="I2" s="16" t="s">
        <v>43</v>
      </c>
    </row>
    <row r="3" spans="1:9" x14ac:dyDescent="0.25">
      <c r="A3">
        <v>1</v>
      </c>
      <c r="B3" s="11" t="s">
        <v>54</v>
      </c>
      <c r="C3" s="24" t="s">
        <v>72</v>
      </c>
      <c r="D3" s="24" t="s">
        <v>72</v>
      </c>
      <c r="E3" s="24" t="s">
        <v>72</v>
      </c>
      <c r="F3" s="24" t="s">
        <v>72</v>
      </c>
      <c r="G3" s="24" t="s">
        <v>72</v>
      </c>
      <c r="H3" s="24" t="s">
        <v>74</v>
      </c>
      <c r="I3" s="31" t="s">
        <v>69</v>
      </c>
    </row>
    <row r="4" spans="1:9" x14ac:dyDescent="0.25">
      <c r="A4">
        <v>2</v>
      </c>
      <c r="B4" s="11" t="s">
        <v>55</v>
      </c>
      <c r="C4" s="24" t="s">
        <v>72</v>
      </c>
      <c r="D4" s="24" t="s">
        <v>72</v>
      </c>
      <c r="E4" s="24" t="s">
        <v>72</v>
      </c>
      <c r="F4" s="24" t="s">
        <v>72</v>
      </c>
      <c r="G4" s="24" t="s">
        <v>72</v>
      </c>
      <c r="H4" s="24" t="s">
        <v>74</v>
      </c>
      <c r="I4" s="31" t="s">
        <v>69</v>
      </c>
    </row>
    <row r="5" spans="1:9" x14ac:dyDescent="0.25">
      <c r="A5">
        <v>3</v>
      </c>
      <c r="B5" s="11" t="s">
        <v>56</v>
      </c>
      <c r="C5" s="26" t="s">
        <v>17</v>
      </c>
      <c r="D5" s="26" t="s">
        <v>17</v>
      </c>
      <c r="E5" s="26" t="s">
        <v>17</v>
      </c>
      <c r="F5" s="31" t="s">
        <v>69</v>
      </c>
      <c r="G5" s="26" t="s">
        <v>17</v>
      </c>
      <c r="H5" s="26" t="s">
        <v>17</v>
      </c>
      <c r="I5" s="30" t="s">
        <v>76</v>
      </c>
    </row>
    <row r="6" spans="1:9" x14ac:dyDescent="0.25">
      <c r="A6">
        <v>4</v>
      </c>
      <c r="B6" s="11" t="s">
        <v>57</v>
      </c>
      <c r="C6" s="26" t="s">
        <v>17</v>
      </c>
      <c r="D6" s="26" t="s">
        <v>17</v>
      </c>
      <c r="E6" s="26" t="s">
        <v>17</v>
      </c>
      <c r="F6" s="26" t="s">
        <v>17</v>
      </c>
      <c r="G6" s="31" t="s">
        <v>69</v>
      </c>
      <c r="H6" s="26" t="s">
        <v>17</v>
      </c>
      <c r="I6" s="30" t="s">
        <v>76</v>
      </c>
    </row>
    <row r="7" spans="1:9" x14ac:dyDescent="0.25">
      <c r="A7">
        <v>5</v>
      </c>
      <c r="B7" s="13"/>
      <c r="C7" s="14"/>
      <c r="D7" s="14"/>
      <c r="E7" s="14"/>
      <c r="F7" s="14"/>
      <c r="G7" s="14"/>
      <c r="H7" s="14"/>
      <c r="I7" s="15"/>
    </row>
    <row r="12" spans="1:9" ht="21" x14ac:dyDescent="0.35">
      <c r="B12" s="296" t="s">
        <v>130</v>
      </c>
      <c r="C12" s="296"/>
      <c r="D12" s="296"/>
      <c r="E12" s="296"/>
      <c r="F12" s="296"/>
      <c r="G12" s="296"/>
      <c r="H12" s="296"/>
      <c r="I12" s="296"/>
    </row>
    <row r="13" spans="1:9" ht="65.25" customHeight="1" x14ac:dyDescent="0.25">
      <c r="B13" s="17" t="s">
        <v>38</v>
      </c>
      <c r="C13" s="16" t="s">
        <v>84</v>
      </c>
      <c r="D13" s="16" t="s">
        <v>85</v>
      </c>
      <c r="E13" s="16" t="s">
        <v>86</v>
      </c>
      <c r="F13" s="16" t="s">
        <v>87</v>
      </c>
      <c r="G13" s="16" t="s">
        <v>88</v>
      </c>
      <c r="H13" s="16" t="s">
        <v>89</v>
      </c>
      <c r="I13" s="16" t="s">
        <v>90</v>
      </c>
    </row>
    <row r="14" spans="1:9" ht="117.75" customHeight="1" x14ac:dyDescent="0.35">
      <c r="A14">
        <v>1</v>
      </c>
      <c r="B14" s="109" t="s">
        <v>56</v>
      </c>
      <c r="C14" s="59" t="s">
        <v>72</v>
      </c>
      <c r="D14" s="59" t="s">
        <v>72</v>
      </c>
      <c r="E14" s="59" t="s">
        <v>72</v>
      </c>
      <c r="F14" s="59" t="s">
        <v>72</v>
      </c>
      <c r="G14" s="59" t="s">
        <v>72</v>
      </c>
      <c r="H14" s="59" t="s">
        <v>74</v>
      </c>
      <c r="I14" s="64" t="s">
        <v>69</v>
      </c>
    </row>
    <row r="15" spans="1:9" ht="117.75" customHeight="1" x14ac:dyDescent="0.35">
      <c r="A15">
        <v>2</v>
      </c>
      <c r="B15" s="109" t="s">
        <v>57</v>
      </c>
      <c r="C15" s="59" t="s">
        <v>72</v>
      </c>
      <c r="D15" s="59" t="s">
        <v>72</v>
      </c>
      <c r="E15" s="59" t="s">
        <v>72</v>
      </c>
      <c r="F15" s="59" t="s">
        <v>72</v>
      </c>
      <c r="G15" s="59" t="s">
        <v>72</v>
      </c>
      <c r="H15" s="59" t="s">
        <v>74</v>
      </c>
      <c r="I15" s="64" t="s">
        <v>69</v>
      </c>
    </row>
    <row r="16" spans="1:9" ht="117.75" customHeight="1" x14ac:dyDescent="0.35">
      <c r="A16">
        <v>3</v>
      </c>
      <c r="B16" s="111" t="s">
        <v>54</v>
      </c>
      <c r="C16" s="65" t="s">
        <v>17</v>
      </c>
      <c r="D16" s="65" t="s">
        <v>17</v>
      </c>
      <c r="E16" s="65" t="s">
        <v>17</v>
      </c>
      <c r="F16" s="64" t="s">
        <v>69</v>
      </c>
      <c r="G16" s="65" t="s">
        <v>17</v>
      </c>
      <c r="H16" s="65" t="s">
        <v>17</v>
      </c>
      <c r="I16" s="66" t="s">
        <v>76</v>
      </c>
    </row>
    <row r="17" spans="1:9" ht="117.75" customHeight="1" x14ac:dyDescent="0.35">
      <c r="A17">
        <v>4</v>
      </c>
      <c r="B17" s="112" t="s">
        <v>55</v>
      </c>
      <c r="C17" s="65" t="s">
        <v>17</v>
      </c>
      <c r="D17" s="65" t="s">
        <v>17</v>
      </c>
      <c r="E17" s="65" t="s">
        <v>17</v>
      </c>
      <c r="F17" s="65" t="s">
        <v>17</v>
      </c>
      <c r="G17" s="64" t="s">
        <v>69</v>
      </c>
      <c r="H17" s="65" t="s">
        <v>17</v>
      </c>
      <c r="I17" s="66" t="s">
        <v>76</v>
      </c>
    </row>
    <row r="18" spans="1:9" ht="117.75" customHeight="1" x14ac:dyDescent="0.35">
      <c r="A18">
        <v>5</v>
      </c>
      <c r="B18" s="110" t="s">
        <v>144</v>
      </c>
      <c r="C18" s="65" t="s">
        <v>17</v>
      </c>
      <c r="D18" s="65" t="s">
        <v>17</v>
      </c>
      <c r="E18" s="65" t="s">
        <v>17</v>
      </c>
      <c r="F18" s="65" t="s">
        <v>17</v>
      </c>
      <c r="G18" s="65" t="s">
        <v>17</v>
      </c>
      <c r="H18" s="65" t="s">
        <v>17</v>
      </c>
      <c r="I18" s="64" t="s">
        <v>69</v>
      </c>
    </row>
    <row r="19" spans="1:9" ht="15.75" x14ac:dyDescent="0.25">
      <c r="B19" s="71" t="s">
        <v>99</v>
      </c>
      <c r="C19" s="67">
        <v>3</v>
      </c>
      <c r="D19" s="67">
        <v>3</v>
      </c>
      <c r="E19" s="67">
        <v>3</v>
      </c>
      <c r="F19" s="67">
        <v>2</v>
      </c>
      <c r="G19" s="67">
        <v>2</v>
      </c>
      <c r="H19" s="67">
        <v>3</v>
      </c>
      <c r="I19" s="68">
        <v>2</v>
      </c>
    </row>
    <row r="20" spans="1:9" ht="15.75" x14ac:dyDescent="0.25">
      <c r="B20" s="71" t="s">
        <v>100</v>
      </c>
      <c r="C20" s="69">
        <v>2</v>
      </c>
      <c r="D20" s="69">
        <v>2</v>
      </c>
      <c r="E20" s="69">
        <v>2</v>
      </c>
      <c r="F20" s="69">
        <v>2</v>
      </c>
      <c r="G20" s="69">
        <v>2</v>
      </c>
      <c r="H20" s="69">
        <v>2</v>
      </c>
      <c r="I20" s="70">
        <v>2</v>
      </c>
    </row>
    <row r="21" spans="1:9" ht="21" x14ac:dyDescent="0.35">
      <c r="B21" s="267" t="s">
        <v>142</v>
      </c>
      <c r="C21" s="267"/>
      <c r="D21" s="267"/>
      <c r="E21" s="267"/>
      <c r="F21" s="267"/>
      <c r="G21" s="267"/>
      <c r="H21" s="267"/>
      <c r="I21" s="267"/>
    </row>
    <row r="28" spans="1:9" ht="61.5" customHeight="1" x14ac:dyDescent="0.35">
      <c r="B28" s="296" t="s">
        <v>182</v>
      </c>
      <c r="C28" s="296"/>
      <c r="D28" s="296"/>
      <c r="E28" s="296"/>
      <c r="F28" s="296"/>
      <c r="G28" s="296"/>
      <c r="H28" s="296"/>
      <c r="I28" s="296"/>
    </row>
    <row r="29" spans="1:9" ht="150" customHeight="1" x14ac:dyDescent="0.25">
      <c r="B29" s="161" t="s">
        <v>38</v>
      </c>
      <c r="C29" s="161" t="s">
        <v>149</v>
      </c>
      <c r="D29" s="161" t="s">
        <v>150</v>
      </c>
      <c r="E29" s="161" t="s">
        <v>151</v>
      </c>
      <c r="F29" s="161" t="s">
        <v>152</v>
      </c>
      <c r="G29" s="161" t="s">
        <v>153</v>
      </c>
      <c r="H29" s="161" t="s">
        <v>154</v>
      </c>
      <c r="I29" s="183" t="s">
        <v>158</v>
      </c>
    </row>
    <row r="30" spans="1:9" ht="49.5" customHeight="1" x14ac:dyDescent="0.35">
      <c r="A30">
        <v>1</v>
      </c>
      <c r="B30" s="109" t="s">
        <v>56</v>
      </c>
      <c r="C30" s="65" t="s">
        <v>17</v>
      </c>
      <c r="D30" s="65" t="s">
        <v>17</v>
      </c>
      <c r="E30" s="65" t="s">
        <v>17</v>
      </c>
      <c r="F30" s="65" t="s">
        <v>17</v>
      </c>
      <c r="G30" s="65" t="s">
        <v>17</v>
      </c>
      <c r="H30" s="65" t="s">
        <v>17</v>
      </c>
      <c r="I30" s="64" t="s">
        <v>69</v>
      </c>
    </row>
    <row r="31" spans="1:9" ht="49.5" customHeight="1" x14ac:dyDescent="0.35">
      <c r="A31">
        <v>2</v>
      </c>
      <c r="B31" s="184" t="s">
        <v>57</v>
      </c>
      <c r="C31" s="65" t="s">
        <v>17</v>
      </c>
      <c r="D31" s="65" t="s">
        <v>17</v>
      </c>
      <c r="E31" s="64" t="s">
        <v>69</v>
      </c>
      <c r="F31" s="59" t="s">
        <v>72</v>
      </c>
      <c r="G31" s="65" t="s">
        <v>17</v>
      </c>
      <c r="H31" s="65" t="s">
        <v>17</v>
      </c>
      <c r="I31" s="66" t="s">
        <v>76</v>
      </c>
    </row>
    <row r="32" spans="1:9" ht="49.5" customHeight="1" x14ac:dyDescent="0.35">
      <c r="A32">
        <v>3</v>
      </c>
      <c r="B32" s="109" t="s">
        <v>54</v>
      </c>
      <c r="C32" s="65" t="s">
        <v>17</v>
      </c>
      <c r="D32" s="65" t="s">
        <v>17</v>
      </c>
      <c r="E32" s="65" t="s">
        <v>17</v>
      </c>
      <c r="F32" s="65" t="s">
        <v>17</v>
      </c>
      <c r="G32" s="65" t="s">
        <v>17</v>
      </c>
      <c r="H32" s="65" t="s">
        <v>17</v>
      </c>
      <c r="I32" s="64" t="s">
        <v>69</v>
      </c>
    </row>
    <row r="33" spans="1:10" ht="49.5" customHeight="1" x14ac:dyDescent="0.35">
      <c r="A33">
        <v>4</v>
      </c>
      <c r="B33" s="109" t="s">
        <v>55</v>
      </c>
      <c r="C33" s="59" t="s">
        <v>72</v>
      </c>
      <c r="D33" s="59" t="s">
        <v>72</v>
      </c>
      <c r="E33" s="59" t="s">
        <v>72</v>
      </c>
      <c r="F33" s="59" t="s">
        <v>72</v>
      </c>
      <c r="G33" s="59" t="s">
        <v>72</v>
      </c>
      <c r="H33" s="59" t="s">
        <v>74</v>
      </c>
      <c r="I33" s="64" t="s">
        <v>69</v>
      </c>
    </row>
    <row r="34" spans="1:10" ht="49.5" customHeight="1" x14ac:dyDescent="0.35">
      <c r="A34">
        <v>5</v>
      </c>
      <c r="B34" s="185" t="s">
        <v>183</v>
      </c>
      <c r="C34" s="59" t="s">
        <v>72</v>
      </c>
      <c r="D34" s="59" t="s">
        <v>72</v>
      </c>
      <c r="E34" s="59" t="s">
        <v>72</v>
      </c>
      <c r="F34" s="64" t="s">
        <v>69</v>
      </c>
      <c r="G34" s="59" t="s">
        <v>72</v>
      </c>
      <c r="H34" s="59" t="s">
        <v>74</v>
      </c>
      <c r="I34" s="66" t="s">
        <v>76</v>
      </c>
    </row>
    <row r="35" spans="1:10" ht="49.5" customHeight="1" x14ac:dyDescent="0.25">
      <c r="B35" s="52" t="s">
        <v>99</v>
      </c>
      <c r="C35" s="52">
        <v>3</v>
      </c>
      <c r="D35" s="52">
        <v>3</v>
      </c>
      <c r="E35" s="52">
        <v>3</v>
      </c>
      <c r="F35" s="52">
        <v>2</v>
      </c>
      <c r="G35" s="52">
        <v>2</v>
      </c>
      <c r="H35" s="52">
        <v>3</v>
      </c>
      <c r="I35" s="52">
        <v>2</v>
      </c>
    </row>
    <row r="36" spans="1:10" ht="49.5" customHeight="1" x14ac:dyDescent="0.25">
      <c r="B36" s="52" t="s">
        <v>100</v>
      </c>
      <c r="C36" s="52">
        <v>2</v>
      </c>
      <c r="D36" s="52">
        <v>2</v>
      </c>
      <c r="E36" s="52">
        <v>2</v>
      </c>
      <c r="F36" s="52">
        <v>2</v>
      </c>
      <c r="G36" s="52">
        <v>2</v>
      </c>
      <c r="H36" s="52">
        <v>2</v>
      </c>
      <c r="I36" s="52">
        <v>2</v>
      </c>
    </row>
    <row r="37" spans="1:10" ht="21" x14ac:dyDescent="0.35">
      <c r="B37" s="267" t="s">
        <v>142</v>
      </c>
      <c r="C37" s="267"/>
      <c r="D37" s="267"/>
      <c r="E37" s="267"/>
      <c r="F37" s="267"/>
      <c r="G37" s="267"/>
      <c r="H37" s="267"/>
      <c r="I37" s="267"/>
    </row>
    <row r="42" spans="1:10" ht="14.25" customHeight="1" x14ac:dyDescent="0.25"/>
    <row r="45" spans="1:10" ht="21" x14ac:dyDescent="0.35">
      <c r="A45" s="190"/>
      <c r="B45" s="296" t="s">
        <v>203</v>
      </c>
      <c r="C45" s="296"/>
      <c r="D45" s="296"/>
      <c r="E45" s="296"/>
      <c r="F45" s="296"/>
      <c r="G45" s="296"/>
      <c r="H45" s="296"/>
      <c r="I45" s="296"/>
      <c r="J45" s="190"/>
    </row>
    <row r="46" spans="1:10" ht="111" customHeight="1" x14ac:dyDescent="0.25">
      <c r="A46" s="190"/>
      <c r="B46" s="214" t="s">
        <v>38</v>
      </c>
      <c r="C46" s="245" t="s">
        <v>187</v>
      </c>
      <c r="D46" s="245" t="s">
        <v>188</v>
      </c>
      <c r="E46" s="245" t="s">
        <v>189</v>
      </c>
      <c r="F46" s="245" t="s">
        <v>190</v>
      </c>
      <c r="G46" s="245" t="s">
        <v>191</v>
      </c>
      <c r="H46" s="245" t="s">
        <v>192</v>
      </c>
      <c r="I46" s="246" t="s">
        <v>193</v>
      </c>
      <c r="J46" s="190"/>
    </row>
    <row r="47" spans="1:10" ht="86.25" customHeight="1" x14ac:dyDescent="0.35">
      <c r="A47" s="190">
        <v>1</v>
      </c>
      <c r="B47" s="109" t="s">
        <v>56</v>
      </c>
      <c r="C47" s="59" t="s">
        <v>72</v>
      </c>
      <c r="D47" s="64" t="s">
        <v>69</v>
      </c>
      <c r="E47" s="59" t="s">
        <v>72</v>
      </c>
      <c r="F47" s="59" t="s">
        <v>72</v>
      </c>
      <c r="G47" s="59" t="s">
        <v>72</v>
      </c>
      <c r="H47" s="59" t="s">
        <v>74</v>
      </c>
      <c r="I47" s="64" t="s">
        <v>69</v>
      </c>
      <c r="J47" s="190"/>
    </row>
    <row r="48" spans="1:10" ht="86.25" customHeight="1" x14ac:dyDescent="0.35">
      <c r="A48" s="190">
        <v>2</v>
      </c>
      <c r="B48" s="109" t="s">
        <v>57</v>
      </c>
      <c r="C48" s="59" t="s">
        <v>72</v>
      </c>
      <c r="D48" s="59" t="s">
        <v>72</v>
      </c>
      <c r="E48" s="59" t="s">
        <v>72</v>
      </c>
      <c r="F48" s="65" t="s">
        <v>17</v>
      </c>
      <c r="G48" s="59" t="s">
        <v>72</v>
      </c>
      <c r="H48" s="59" t="s">
        <v>74</v>
      </c>
      <c r="I48" s="64" t="s">
        <v>69</v>
      </c>
      <c r="J48" s="190"/>
    </row>
    <row r="49" spans="1:10" ht="86.25" customHeight="1" x14ac:dyDescent="0.35">
      <c r="A49" s="190">
        <v>3</v>
      </c>
      <c r="B49" s="184" t="s">
        <v>54</v>
      </c>
      <c r="C49" s="59" t="s">
        <v>72</v>
      </c>
      <c r="D49" s="59" t="s">
        <v>72</v>
      </c>
      <c r="E49" s="59" t="s">
        <v>72</v>
      </c>
      <c r="F49" s="59" t="s">
        <v>72</v>
      </c>
      <c r="G49" s="64" t="s">
        <v>69</v>
      </c>
      <c r="H49" s="59" t="s">
        <v>74</v>
      </c>
      <c r="I49" s="66" t="s">
        <v>76</v>
      </c>
      <c r="J49" s="190"/>
    </row>
    <row r="50" spans="1:10" ht="86.25" customHeight="1" x14ac:dyDescent="0.35">
      <c r="A50" s="190">
        <v>4</v>
      </c>
      <c r="B50" s="184" t="s">
        <v>55</v>
      </c>
      <c r="C50" s="65" t="s">
        <v>17</v>
      </c>
      <c r="D50" s="65" t="s">
        <v>17</v>
      </c>
      <c r="E50" s="65" t="s">
        <v>17</v>
      </c>
      <c r="F50" s="64" t="s">
        <v>69</v>
      </c>
      <c r="G50" s="65" t="s">
        <v>17</v>
      </c>
      <c r="H50" s="65" t="s">
        <v>17</v>
      </c>
      <c r="I50" s="66" t="s">
        <v>76</v>
      </c>
      <c r="J50" s="190"/>
    </row>
    <row r="51" spans="1:10" ht="86.25" customHeight="1" x14ac:dyDescent="0.35">
      <c r="A51" s="190">
        <v>5</v>
      </c>
      <c r="B51" s="109" t="s">
        <v>183</v>
      </c>
      <c r="C51" s="65" t="s">
        <v>17</v>
      </c>
      <c r="D51" s="65" t="s">
        <v>17</v>
      </c>
      <c r="E51" s="65" t="s">
        <v>17</v>
      </c>
      <c r="F51" s="65" t="s">
        <v>17</v>
      </c>
      <c r="G51" s="65" t="s">
        <v>17</v>
      </c>
      <c r="H51" s="65" t="s">
        <v>17</v>
      </c>
      <c r="I51" s="64" t="s">
        <v>69</v>
      </c>
      <c r="J51" s="190"/>
    </row>
    <row r="52" spans="1:10" x14ac:dyDescent="0.25">
      <c r="A52" s="190"/>
      <c r="B52" s="52" t="s">
        <v>99</v>
      </c>
      <c r="C52" s="52">
        <v>3</v>
      </c>
      <c r="D52" s="52">
        <v>3</v>
      </c>
      <c r="E52" s="52">
        <v>3</v>
      </c>
      <c r="F52" s="52">
        <v>2</v>
      </c>
      <c r="G52" s="52">
        <v>2</v>
      </c>
      <c r="H52" s="52">
        <v>3</v>
      </c>
      <c r="I52" s="52">
        <v>2</v>
      </c>
      <c r="J52" s="190"/>
    </row>
    <row r="53" spans="1:10" x14ac:dyDescent="0.25">
      <c r="A53" s="190"/>
      <c r="B53" s="52" t="s">
        <v>100</v>
      </c>
      <c r="C53" s="52">
        <v>2</v>
      </c>
      <c r="D53" s="52">
        <v>2</v>
      </c>
      <c r="E53" s="52">
        <v>2</v>
      </c>
      <c r="F53" s="52">
        <v>2</v>
      </c>
      <c r="G53" s="52">
        <v>2</v>
      </c>
      <c r="H53" s="52">
        <v>2</v>
      </c>
      <c r="I53" s="52">
        <v>2</v>
      </c>
      <c r="J53" s="190"/>
    </row>
    <row r="54" spans="1:10" ht="21" x14ac:dyDescent="0.35">
      <c r="A54" s="190"/>
      <c r="B54" s="267" t="s">
        <v>142</v>
      </c>
      <c r="C54" s="267"/>
      <c r="D54" s="267"/>
      <c r="E54" s="267"/>
      <c r="F54" s="267"/>
      <c r="G54" s="267"/>
      <c r="H54" s="267"/>
      <c r="I54" s="267"/>
      <c r="J54" s="190"/>
    </row>
    <row r="60" spans="1:10" x14ac:dyDescent="0.25">
      <c r="A60" s="190"/>
      <c r="B60" s="190"/>
      <c r="C60" s="190"/>
      <c r="D60" s="190"/>
      <c r="E60" s="190"/>
      <c r="F60" s="190"/>
      <c r="G60" s="190"/>
      <c r="H60" s="190"/>
      <c r="I60" s="190"/>
    </row>
    <row r="61" spans="1:10" ht="21" x14ac:dyDescent="0.35">
      <c r="A61" s="190"/>
      <c r="B61" s="296" t="s">
        <v>218</v>
      </c>
      <c r="C61" s="296"/>
      <c r="D61" s="296"/>
      <c r="E61" s="296"/>
      <c r="F61" s="296"/>
      <c r="G61" s="296"/>
      <c r="H61" s="296"/>
      <c r="I61" s="296"/>
    </row>
    <row r="62" spans="1:10" ht="73.5" customHeight="1" x14ac:dyDescent="0.25">
      <c r="A62" s="190"/>
      <c r="B62" s="214" t="s">
        <v>38</v>
      </c>
      <c r="C62" s="312" t="s">
        <v>205</v>
      </c>
      <c r="D62" s="312" t="s">
        <v>206</v>
      </c>
      <c r="E62" s="312" t="s">
        <v>207</v>
      </c>
      <c r="F62" s="312" t="s">
        <v>208</v>
      </c>
      <c r="G62" s="312" t="s">
        <v>209</v>
      </c>
      <c r="H62" s="312" t="s">
        <v>210</v>
      </c>
      <c r="I62" s="313" t="s">
        <v>211</v>
      </c>
    </row>
    <row r="63" spans="1:10" ht="21" x14ac:dyDescent="0.35">
      <c r="A63" s="190">
        <v>1</v>
      </c>
      <c r="B63" s="184" t="s">
        <v>56</v>
      </c>
      <c r="C63" s="59" t="s">
        <v>72</v>
      </c>
      <c r="D63" s="64" t="s">
        <v>69</v>
      </c>
      <c r="E63" s="59" t="s">
        <v>72</v>
      </c>
      <c r="F63" s="59" t="s">
        <v>72</v>
      </c>
      <c r="G63" s="59" t="s">
        <v>72</v>
      </c>
      <c r="H63" s="59" t="s">
        <v>74</v>
      </c>
      <c r="I63" s="66" t="s">
        <v>76</v>
      </c>
    </row>
    <row r="64" spans="1:10" ht="21" x14ac:dyDescent="0.35">
      <c r="A64" s="190">
        <v>3</v>
      </c>
      <c r="B64" s="109" t="s">
        <v>54</v>
      </c>
      <c r="C64" s="65" t="s">
        <v>17</v>
      </c>
      <c r="D64" s="59" t="s">
        <v>72</v>
      </c>
      <c r="E64" s="65" t="s">
        <v>17</v>
      </c>
      <c r="F64" s="65" t="s">
        <v>17</v>
      </c>
      <c r="G64" s="65" t="s">
        <v>17</v>
      </c>
      <c r="H64" s="65" t="s">
        <v>17</v>
      </c>
      <c r="I64" s="64" t="s">
        <v>69</v>
      </c>
    </row>
    <row r="65" spans="1:9" ht="21" x14ac:dyDescent="0.35">
      <c r="A65" s="190">
        <v>4</v>
      </c>
      <c r="B65" s="109" t="s">
        <v>55</v>
      </c>
      <c r="C65" s="65" t="s">
        <v>17</v>
      </c>
      <c r="D65" s="65" t="s">
        <v>17</v>
      </c>
      <c r="E65" s="65" t="s">
        <v>17</v>
      </c>
      <c r="F65" s="65" t="s">
        <v>17</v>
      </c>
      <c r="G65" s="65" t="s">
        <v>17</v>
      </c>
      <c r="H65" s="65" t="s">
        <v>17</v>
      </c>
      <c r="I65" s="64" t="s">
        <v>69</v>
      </c>
    </row>
    <row r="66" spans="1:9" ht="21" x14ac:dyDescent="0.35">
      <c r="A66" s="190">
        <v>5</v>
      </c>
      <c r="B66" s="109" t="s">
        <v>183</v>
      </c>
      <c r="C66" s="59" t="s">
        <v>72</v>
      </c>
      <c r="D66" s="59" t="s">
        <v>72</v>
      </c>
      <c r="E66" s="59" t="s">
        <v>72</v>
      </c>
      <c r="F66" s="59" t="s">
        <v>72</v>
      </c>
      <c r="G66" s="59" t="s">
        <v>72</v>
      </c>
      <c r="H66" s="59" t="s">
        <v>74</v>
      </c>
      <c r="I66" s="64" t="s">
        <v>69</v>
      </c>
    </row>
    <row r="67" spans="1:9" ht="21" x14ac:dyDescent="0.35">
      <c r="A67" s="190">
        <v>2</v>
      </c>
      <c r="B67" s="184" t="s">
        <v>219</v>
      </c>
      <c r="C67" s="318" t="s">
        <v>17</v>
      </c>
      <c r="D67" s="318" t="s">
        <v>17</v>
      </c>
      <c r="E67" s="64" t="s">
        <v>69</v>
      </c>
      <c r="F67" s="318" t="s">
        <v>17</v>
      </c>
      <c r="G67" s="318" t="s">
        <v>17</v>
      </c>
      <c r="H67" s="318" t="s">
        <v>17</v>
      </c>
      <c r="I67" s="66" t="s">
        <v>76</v>
      </c>
    </row>
    <row r="68" spans="1:9" s="190" customFormat="1" ht="23.25" x14ac:dyDescent="0.25">
      <c r="B68" s="52" t="s">
        <v>104</v>
      </c>
      <c r="C68" s="198">
        <f>COUNTIF(C60:C67,"7:00am - 4:00pm")</f>
        <v>3</v>
      </c>
      <c r="D68" s="198">
        <f t="shared" ref="D68:H68" si="0">COUNTIF(D60:D67,"7:00am - 4:00pm")</f>
        <v>2</v>
      </c>
      <c r="E68" s="198">
        <f t="shared" si="0"/>
        <v>2</v>
      </c>
      <c r="F68" s="198">
        <f t="shared" si="0"/>
        <v>3</v>
      </c>
      <c r="G68" s="198">
        <f t="shared" si="0"/>
        <v>3</v>
      </c>
      <c r="H68" s="198">
        <f t="shared" si="0"/>
        <v>3</v>
      </c>
      <c r="I68" s="198">
        <f>COUNTIF(I60:I67,"8:00am - 1:00pm")</f>
        <v>2</v>
      </c>
    </row>
    <row r="69" spans="1:9" s="190" customFormat="1" ht="23.25" x14ac:dyDescent="0.25">
      <c r="B69" s="52" t="s">
        <v>105</v>
      </c>
      <c r="C69" s="265">
        <f>COUNTIF(C60:C67,"9:00am - 6:00pm")</f>
        <v>2</v>
      </c>
      <c r="D69" s="265">
        <f t="shared" ref="D69:H69" si="1">COUNTIF(D60:D67,"9:00am - 6:00pm")</f>
        <v>2</v>
      </c>
      <c r="E69" s="265">
        <f t="shared" si="1"/>
        <v>2</v>
      </c>
      <c r="F69" s="265">
        <f t="shared" si="1"/>
        <v>2</v>
      </c>
      <c r="G69" s="265">
        <f t="shared" si="1"/>
        <v>2</v>
      </c>
      <c r="H69" s="265">
        <f>COUNTIF(H60:H67,"8:00am - 5:00pm")</f>
        <v>2</v>
      </c>
      <c r="I69" s="265">
        <f t="shared" ref="I69:N69" si="2">COUNTIF(I60:I67,"9:00am - 6:00pm")</f>
        <v>0</v>
      </c>
    </row>
    <row r="70" spans="1:9" s="190" customFormat="1" ht="23.25" x14ac:dyDescent="0.25">
      <c r="B70" s="72" t="s">
        <v>106</v>
      </c>
      <c r="C70" s="265">
        <f>COUNTIF(C59:C67,"LIBRE")</f>
        <v>0</v>
      </c>
      <c r="D70" s="265">
        <f t="shared" ref="D70:I70" si="3">COUNTIF(D59:D67,"LIBRE")</f>
        <v>1</v>
      </c>
      <c r="E70" s="265">
        <f t="shared" si="3"/>
        <v>1</v>
      </c>
      <c r="F70" s="265">
        <f t="shared" si="3"/>
        <v>0</v>
      </c>
      <c r="G70" s="265">
        <f t="shared" si="3"/>
        <v>0</v>
      </c>
      <c r="H70" s="265">
        <f t="shared" si="3"/>
        <v>0</v>
      </c>
      <c r="I70" s="265">
        <f t="shared" si="3"/>
        <v>3</v>
      </c>
    </row>
  </sheetData>
  <mergeCells count="8">
    <mergeCell ref="B61:I61"/>
    <mergeCell ref="B45:I45"/>
    <mergeCell ref="B54:I54"/>
    <mergeCell ref="B1:I1"/>
    <mergeCell ref="B12:I12"/>
    <mergeCell ref="B21:I21"/>
    <mergeCell ref="B28:I28"/>
    <mergeCell ref="B37:I37"/>
  </mergeCells>
  <pageMargins left="0.7" right="0.7" top="0.75" bottom="0.75" header="0.3" footer="0.3"/>
  <pageSetup scale="22" orientation="landscape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FERRETERIA</vt:lpstr>
      <vt:lpstr>CAJAS</vt:lpstr>
      <vt:lpstr>PINTURAS</vt:lpstr>
      <vt:lpstr>CHEQUEADORES</vt:lpstr>
      <vt:lpstr>HOGAR</vt:lpstr>
      <vt:lpstr>PATIO</vt:lpstr>
      <vt:lpstr>DETALLES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Arevalo</dc:creator>
  <cp:lastModifiedBy>Steven Arevalo</cp:lastModifiedBy>
  <cp:lastPrinted>2021-05-08T17:05:08Z</cp:lastPrinted>
  <dcterms:created xsi:type="dcterms:W3CDTF">2021-04-14T16:13:34Z</dcterms:created>
  <dcterms:modified xsi:type="dcterms:W3CDTF">2021-05-15T01:51:31Z</dcterms:modified>
</cp:coreProperties>
</file>